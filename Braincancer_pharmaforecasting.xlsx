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124226"/>
  <mc:AlternateContent xmlns:mc="http://schemas.openxmlformats.org/markup-compatibility/2006">
    <mc:Choice Requires="x15">
      <x15ac:absPath xmlns:x15ac="http://schemas.microsoft.com/office/spreadsheetml/2010/11/ac" url="/Users/bipashak/Desktop/"/>
    </mc:Choice>
  </mc:AlternateContent>
  <xr:revisionPtr revIDLastSave="0" documentId="8_{D1DD12EB-737F-EC4B-BC4B-9B16DD027527}" xr6:coauthVersionLast="47" xr6:coauthVersionMax="47" xr10:uidLastSave="{00000000-0000-0000-0000-000000000000}"/>
  <bookViews>
    <workbookView xWindow="0" yWindow="660" windowWidth="29400" windowHeight="18460" xr2:uid="{D94AF4F1-57E0-B44B-8F68-8F6EC78B5E7B}"/>
  </bookViews>
  <sheets>
    <sheet name="Data Inpu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E5" i="1"/>
  <c r="F5" i="1" s="1"/>
  <c r="G5" i="1" s="1"/>
  <c r="H5" i="1" s="1"/>
  <c r="I5" i="1" s="1"/>
  <c r="J5" i="1" s="1"/>
  <c r="K5" i="1" s="1"/>
  <c r="L5" i="1" s="1"/>
  <c r="M5" i="1" s="1"/>
  <c r="N5" i="1" s="1"/>
  <c r="O5" i="1"/>
  <c r="P5" i="1" s="1"/>
  <c r="A7" i="1"/>
  <c r="A8" i="1"/>
  <c r="A9" i="1"/>
  <c r="A10" i="1"/>
  <c r="A11" i="1"/>
  <c r="A12" i="1"/>
  <c r="A13" i="1"/>
  <c r="A16" i="1"/>
  <c r="D16" i="1"/>
  <c r="E16" i="1" s="1"/>
  <c r="F16" i="1"/>
  <c r="G16" i="1"/>
  <c r="H16" i="1" s="1"/>
  <c r="I16" i="1" s="1"/>
  <c r="J16" i="1" s="1"/>
  <c r="K16" i="1" s="1"/>
  <c r="L16" i="1" s="1"/>
  <c r="M16" i="1" s="1"/>
  <c r="N16" i="1" s="1"/>
  <c r="O16" i="1" s="1"/>
  <c r="P16" i="1" s="1"/>
  <c r="A17" i="1"/>
  <c r="D17" i="1"/>
  <c r="E17" i="1" s="1"/>
  <c r="F17" i="1"/>
  <c r="G17" i="1"/>
  <c r="H17" i="1" s="1"/>
  <c r="I17" i="1" s="1"/>
  <c r="J17" i="1" s="1"/>
  <c r="K17" i="1" s="1"/>
  <c r="L17" i="1" s="1"/>
  <c r="M17" i="1" s="1"/>
  <c r="N17" i="1" s="1"/>
  <c r="O17" i="1" s="1"/>
  <c r="P17" i="1" s="1"/>
  <c r="A18" i="1"/>
  <c r="D18" i="1"/>
  <c r="E18" i="1" s="1"/>
  <c r="F18" i="1"/>
  <c r="G18" i="1" s="1"/>
  <c r="H18" i="1"/>
  <c r="I18" i="1" s="1"/>
  <c r="J18" i="1" s="1"/>
  <c r="K18" i="1" s="1"/>
  <c r="L18" i="1" s="1"/>
  <c r="M18" i="1" s="1"/>
  <c r="N18" i="1" s="1"/>
  <c r="O18" i="1" s="1"/>
  <c r="P18" i="1" s="1"/>
  <c r="A19" i="1"/>
  <c r="D19" i="1"/>
  <c r="E19" i="1"/>
  <c r="F19" i="1"/>
  <c r="G19" i="1" s="1"/>
  <c r="H19" i="1" s="1"/>
  <c r="I19" i="1" s="1"/>
  <c r="J19" i="1" s="1"/>
  <c r="K19" i="1" s="1"/>
  <c r="L19" i="1" s="1"/>
  <c r="M19" i="1" s="1"/>
  <c r="N19" i="1" s="1"/>
  <c r="O19" i="1" s="1"/>
  <c r="P19" i="1" s="1"/>
  <c r="A20" i="1"/>
  <c r="D20" i="1"/>
  <c r="E20" i="1"/>
  <c r="F20" i="1" s="1"/>
  <c r="G20" i="1" s="1"/>
  <c r="H20" i="1" s="1"/>
  <c r="I20" i="1" s="1"/>
  <c r="J20" i="1" s="1"/>
  <c r="K20" i="1" s="1"/>
  <c r="L20" i="1" s="1"/>
  <c r="M20" i="1" s="1"/>
  <c r="N20" i="1" s="1"/>
  <c r="O20" i="1" s="1"/>
  <c r="P20" i="1" s="1"/>
  <c r="A21" i="1"/>
  <c r="D21" i="1"/>
  <c r="E21" i="1" s="1"/>
  <c r="F21" i="1" s="1"/>
  <c r="G21" i="1" s="1"/>
  <c r="H21" i="1" s="1"/>
  <c r="I21" i="1" s="1"/>
  <c r="J21" i="1" s="1"/>
  <c r="K21" i="1" s="1"/>
  <c r="L21" i="1" s="1"/>
  <c r="M21" i="1" s="1"/>
  <c r="N21" i="1" s="1"/>
  <c r="O21" i="1" s="1"/>
  <c r="P21" i="1" s="1"/>
  <c r="A22" i="1"/>
  <c r="D22" i="1"/>
  <c r="E22" i="1" s="1"/>
  <c r="F22" i="1" s="1"/>
  <c r="G22" i="1" s="1"/>
  <c r="H22" i="1" s="1"/>
  <c r="I22" i="1" s="1"/>
  <c r="J22" i="1" s="1"/>
  <c r="K22" i="1" s="1"/>
  <c r="L22" i="1" s="1"/>
  <c r="M22" i="1" s="1"/>
  <c r="N22" i="1" s="1"/>
  <c r="O22" i="1" s="1"/>
  <c r="P22" i="1" s="1"/>
  <c r="A25" i="1"/>
  <c r="A28" i="1"/>
  <c r="A29" i="1"/>
  <c r="C29" i="1"/>
  <c r="A32" i="1"/>
  <c r="A33" i="1"/>
  <c r="A34" i="1"/>
  <c r="A35" i="1"/>
  <c r="A36" i="1"/>
  <c r="A37" i="1"/>
  <c r="A38" i="1"/>
  <c r="C38" i="1"/>
  <c r="D38" i="1"/>
  <c r="E38" i="1"/>
  <c r="F38" i="1"/>
  <c r="G38" i="1"/>
  <c r="H38" i="1"/>
  <c r="I38" i="1"/>
  <c r="A41" i="1"/>
  <c r="A44" i="1"/>
  <c r="A45" i="1"/>
  <c r="D45" i="1"/>
  <c r="E45" i="1"/>
  <c r="F45" i="1"/>
  <c r="G45" i="1"/>
  <c r="A48" i="1"/>
  <c r="A49" i="1"/>
  <c r="A50" i="1"/>
  <c r="A52" i="1"/>
  <c r="A54" i="1"/>
  <c r="A55" i="1"/>
  <c r="A56" i="1"/>
  <c r="A57" i="1"/>
  <c r="A59" i="1"/>
  <c r="A60" i="1"/>
  <c r="A63" i="1"/>
  <c r="A64" i="1"/>
  <c r="J64" i="1"/>
  <c r="K64" i="1" s="1"/>
  <c r="A65" i="1"/>
  <c r="H65" i="1"/>
  <c r="A66" i="1"/>
  <c r="D66" i="1"/>
  <c r="E66" i="1" s="1"/>
  <c r="A67" i="1"/>
  <c r="A68" i="1"/>
  <c r="G68" i="1"/>
  <c r="H68" i="1"/>
  <c r="I68" i="1"/>
  <c r="A69" i="1"/>
  <c r="G69" i="1"/>
  <c r="I97" i="1" s="1"/>
  <c r="H69" i="1"/>
  <c r="I69" i="1" s="1"/>
  <c r="A70" i="1"/>
  <c r="A71" i="1"/>
  <c r="A72" i="1"/>
  <c r="A73" i="1"/>
  <c r="A74" i="1"/>
  <c r="A75" i="1"/>
  <c r="H75" i="1"/>
  <c r="J99" i="1" s="1"/>
  <c r="A76" i="1"/>
  <c r="H76" i="1"/>
  <c r="I76" i="1" s="1"/>
  <c r="A80" i="1"/>
  <c r="L80" i="1"/>
  <c r="M80" i="1" s="1"/>
  <c r="A81" i="1"/>
  <c r="I81" i="1"/>
  <c r="J81" i="1"/>
  <c r="K81" i="1" s="1"/>
  <c r="A82" i="1"/>
  <c r="L82" i="1"/>
  <c r="M82" i="1"/>
  <c r="N82" i="1"/>
  <c r="O82" i="1" s="1"/>
  <c r="P82" i="1" s="1"/>
  <c r="A83" i="1"/>
  <c r="A84" i="1"/>
  <c r="H84" i="1"/>
  <c r="I84" i="1" s="1"/>
  <c r="A85" i="1"/>
  <c r="H85" i="1"/>
  <c r="I85" i="1" s="1"/>
  <c r="J85" i="1" s="1"/>
  <c r="K85" i="1" s="1"/>
  <c r="L85" i="1" s="1"/>
  <c r="M85" i="1" s="1"/>
  <c r="N85" i="1" s="1"/>
  <c r="O85" i="1" s="1"/>
  <c r="P85" i="1" s="1"/>
  <c r="A86" i="1"/>
  <c r="H86" i="1"/>
  <c r="I86" i="1" s="1"/>
  <c r="J86" i="1" s="1"/>
  <c r="K86" i="1" s="1"/>
  <c r="L86" i="1" s="1"/>
  <c r="M86" i="1" s="1"/>
  <c r="N86" i="1" s="1"/>
  <c r="O86" i="1" s="1"/>
  <c r="P86" i="1" s="1"/>
  <c r="A87" i="1"/>
  <c r="H87" i="1"/>
  <c r="I87" i="1" s="1"/>
  <c r="J87" i="1" s="1"/>
  <c r="K87" i="1" s="1"/>
  <c r="L87" i="1" s="1"/>
  <c r="M87" i="1" s="1"/>
  <c r="N87" i="1" s="1"/>
  <c r="O87" i="1" s="1"/>
  <c r="P87" i="1" s="1"/>
  <c r="A92" i="1"/>
  <c r="J92" i="1"/>
  <c r="K92" i="1"/>
  <c r="L92" i="1"/>
  <c r="A93" i="1"/>
  <c r="J93" i="1"/>
  <c r="A94" i="1"/>
  <c r="D94" i="1"/>
  <c r="A96" i="1"/>
  <c r="I96" i="1"/>
  <c r="K96" i="1"/>
  <c r="A97" i="1"/>
  <c r="J97" i="1"/>
  <c r="A99" i="1"/>
  <c r="I99" i="1"/>
  <c r="A100" i="1"/>
  <c r="I100" i="1"/>
  <c r="J100" i="1"/>
  <c r="J104" i="1"/>
  <c r="K104" i="1"/>
  <c r="P104" i="1"/>
  <c r="J105" i="1"/>
  <c r="K105" i="1" s="1"/>
  <c r="P105" i="1"/>
  <c r="J106" i="1"/>
  <c r="K106" i="1"/>
  <c r="P106" i="1"/>
  <c r="J107" i="1"/>
  <c r="K107" i="1" s="1"/>
  <c r="P107" i="1"/>
  <c r="J108" i="1"/>
  <c r="K108" i="1" s="1"/>
  <c r="P108" i="1"/>
  <c r="J109" i="1"/>
  <c r="K109" i="1" s="1"/>
  <c r="P109" i="1"/>
  <c r="J110" i="1"/>
  <c r="K110" i="1"/>
  <c r="P110" i="1"/>
  <c r="K148" i="1" s="1"/>
  <c r="J111" i="1"/>
  <c r="K111" i="1" s="1"/>
  <c r="P111" i="1"/>
  <c r="J112" i="1"/>
  <c r="K112" i="1"/>
  <c r="P112" i="1"/>
  <c r="J113" i="1"/>
  <c r="K113" i="1" s="1"/>
  <c r="P113" i="1"/>
  <c r="J114" i="1"/>
  <c r="K114" i="1"/>
  <c r="P114" i="1"/>
  <c r="J115" i="1"/>
  <c r="K115" i="1" s="1"/>
  <c r="P115" i="1"/>
  <c r="J116" i="1"/>
  <c r="K116" i="1"/>
  <c r="P116" i="1"/>
  <c r="J117" i="1"/>
  <c r="K117" i="1" s="1"/>
  <c r="P117" i="1"/>
  <c r="J118" i="1"/>
  <c r="K118" i="1"/>
  <c r="P118" i="1"/>
  <c r="J119" i="1"/>
  <c r="K119" i="1" s="1"/>
  <c r="P119" i="1"/>
  <c r="J120" i="1"/>
  <c r="K120" i="1"/>
  <c r="P120" i="1"/>
  <c r="K158" i="1" s="1"/>
  <c r="D122" i="1"/>
  <c r="E122" i="1"/>
  <c r="F122" i="1"/>
  <c r="G122" i="1" s="1"/>
  <c r="H122" i="1"/>
  <c r="I122" i="1" s="1"/>
  <c r="J122" i="1" s="1"/>
  <c r="K122" i="1" s="1"/>
  <c r="L122" i="1" s="1"/>
  <c r="M122" i="1" s="1"/>
  <c r="N122" i="1" s="1"/>
  <c r="O122" i="1" s="1"/>
  <c r="P122" i="1" s="1"/>
  <c r="A123" i="1"/>
  <c r="A124" i="1"/>
  <c r="A125" i="1"/>
  <c r="A126" i="1"/>
  <c r="A127" i="1"/>
  <c r="A128" i="1"/>
  <c r="A129" i="1"/>
  <c r="A130" i="1"/>
  <c r="A131" i="1"/>
  <c r="A132" i="1"/>
  <c r="A133" i="1"/>
  <c r="A134" i="1"/>
  <c r="A135" i="1"/>
  <c r="A136" i="1"/>
  <c r="A137" i="1"/>
  <c r="A138" i="1"/>
  <c r="A139" i="1"/>
  <c r="A140" i="1"/>
  <c r="D141" i="1"/>
  <c r="E141" i="1"/>
  <c r="F141" i="1" s="1"/>
  <c r="G141" i="1" s="1"/>
  <c r="H141" i="1" s="1"/>
  <c r="I141" i="1" s="1"/>
  <c r="J141" i="1" s="1"/>
  <c r="K141" i="1" s="1"/>
  <c r="L141" i="1" s="1"/>
  <c r="M141" i="1" s="1"/>
  <c r="N141" i="1" s="1"/>
  <c r="O141" i="1" s="1"/>
  <c r="P141" i="1" s="1"/>
  <c r="A142" i="1"/>
  <c r="D142" i="1"/>
  <c r="D63" i="1" s="1"/>
  <c r="E142" i="1"/>
  <c r="E67" i="1" s="1"/>
  <c r="F142" i="1"/>
  <c r="H142" i="1"/>
  <c r="I142" i="1"/>
  <c r="J142" i="1"/>
  <c r="P142" i="1"/>
  <c r="A143" i="1"/>
  <c r="C143" i="1"/>
  <c r="D143" i="1"/>
  <c r="E143" i="1"/>
  <c r="G143" i="1"/>
  <c r="I143" i="1"/>
  <c r="N143" i="1"/>
  <c r="O143" i="1"/>
  <c r="A144" i="1"/>
  <c r="E144" i="1"/>
  <c r="F144" i="1"/>
  <c r="H144" i="1"/>
  <c r="P144" i="1"/>
  <c r="A145" i="1"/>
  <c r="C145" i="1"/>
  <c r="D145" i="1"/>
  <c r="E145" i="1"/>
  <c r="G145" i="1"/>
  <c r="I145" i="1"/>
  <c r="J145" i="1"/>
  <c r="K145" i="1"/>
  <c r="M145" i="1"/>
  <c r="N145" i="1"/>
  <c r="O145" i="1"/>
  <c r="A146" i="1"/>
  <c r="C146" i="1"/>
  <c r="D146" i="1"/>
  <c r="E146" i="1"/>
  <c r="F146" i="1"/>
  <c r="G146" i="1"/>
  <c r="H146" i="1"/>
  <c r="I146" i="1"/>
  <c r="J146" i="1"/>
  <c r="K146" i="1"/>
  <c r="L146" i="1"/>
  <c r="M146" i="1"/>
  <c r="N146" i="1"/>
  <c r="O146" i="1"/>
  <c r="P146" i="1"/>
  <c r="A147" i="1"/>
  <c r="C147" i="1"/>
  <c r="D147" i="1"/>
  <c r="E147" i="1"/>
  <c r="G147" i="1"/>
  <c r="I147" i="1"/>
  <c r="J147" i="1"/>
  <c r="K147" i="1"/>
  <c r="A148" i="1"/>
  <c r="D148" i="1"/>
  <c r="E148" i="1"/>
  <c r="F148" i="1"/>
  <c r="G148" i="1"/>
  <c r="H148" i="1"/>
  <c r="I148" i="1"/>
  <c r="J148" i="1"/>
  <c r="L148" i="1"/>
  <c r="N148" i="1"/>
  <c r="O148" i="1"/>
  <c r="P148" i="1"/>
  <c r="A149" i="1"/>
  <c r="C149" i="1"/>
  <c r="D149" i="1"/>
  <c r="E149" i="1"/>
  <c r="G149" i="1"/>
  <c r="J149" i="1"/>
  <c r="K149" i="1"/>
  <c r="M149" i="1"/>
  <c r="N149" i="1"/>
  <c r="O149" i="1"/>
  <c r="A150" i="1"/>
  <c r="C150" i="1"/>
  <c r="D150" i="1"/>
  <c r="E150" i="1"/>
  <c r="F150" i="1"/>
  <c r="G150" i="1"/>
  <c r="H150" i="1"/>
  <c r="I150" i="1"/>
  <c r="J150" i="1"/>
  <c r="K150" i="1"/>
  <c r="L150" i="1"/>
  <c r="M150" i="1"/>
  <c r="N150" i="1"/>
  <c r="O150" i="1"/>
  <c r="P150" i="1"/>
  <c r="A151" i="1"/>
  <c r="D151" i="1"/>
  <c r="E151" i="1"/>
  <c r="G151" i="1"/>
  <c r="J151" i="1"/>
  <c r="K151" i="1"/>
  <c r="M151" i="1"/>
  <c r="A152" i="1"/>
  <c r="D152" i="1"/>
  <c r="E152" i="1"/>
  <c r="F152" i="1"/>
  <c r="H152" i="1"/>
  <c r="I152" i="1"/>
  <c r="J152" i="1"/>
  <c r="L152" i="1"/>
  <c r="N152" i="1"/>
  <c r="O152" i="1"/>
  <c r="P152" i="1"/>
  <c r="A153" i="1"/>
  <c r="C153" i="1"/>
  <c r="D153" i="1"/>
  <c r="E153" i="1"/>
  <c r="G153" i="1"/>
  <c r="I153" i="1"/>
  <c r="J153" i="1"/>
  <c r="M153" i="1"/>
  <c r="N153" i="1"/>
  <c r="O153" i="1"/>
  <c r="A154" i="1"/>
  <c r="D154" i="1"/>
  <c r="E154" i="1"/>
  <c r="F154" i="1"/>
  <c r="H154" i="1"/>
  <c r="I154" i="1"/>
  <c r="O154" i="1"/>
  <c r="P154" i="1"/>
  <c r="A155" i="1"/>
  <c r="D155" i="1"/>
  <c r="E155" i="1"/>
  <c r="G155" i="1"/>
  <c r="M155" i="1"/>
  <c r="N155" i="1"/>
  <c r="O155" i="1"/>
  <c r="A156" i="1"/>
  <c r="C156" i="1"/>
  <c r="D156" i="1"/>
  <c r="E156" i="1"/>
  <c r="F156" i="1"/>
  <c r="G156" i="1"/>
  <c r="H156" i="1"/>
  <c r="I156" i="1"/>
  <c r="J156" i="1"/>
  <c r="K156" i="1"/>
  <c r="L156" i="1"/>
  <c r="M156" i="1"/>
  <c r="N156" i="1"/>
  <c r="O156" i="1"/>
  <c r="P156" i="1"/>
  <c r="A157" i="1"/>
  <c r="C157" i="1"/>
  <c r="D157" i="1"/>
  <c r="E157" i="1"/>
  <c r="G157" i="1"/>
  <c r="I157" i="1"/>
  <c r="J157" i="1"/>
  <c r="K157" i="1"/>
  <c r="L157" i="1"/>
  <c r="N157" i="1"/>
  <c r="O157" i="1"/>
  <c r="A158" i="1"/>
  <c r="D158" i="1"/>
  <c r="E158" i="1"/>
  <c r="F158" i="1"/>
  <c r="G158" i="1"/>
  <c r="H158" i="1"/>
  <c r="I158" i="1"/>
  <c r="J158" i="1"/>
  <c r="L158" i="1"/>
  <c r="N158" i="1"/>
  <c r="O158" i="1"/>
  <c r="P158" i="1"/>
  <c r="D160" i="1"/>
  <c r="E160" i="1" s="1"/>
  <c r="F160" i="1" s="1"/>
  <c r="G160" i="1" s="1"/>
  <c r="H160" i="1" s="1"/>
  <c r="I160" i="1" s="1"/>
  <c r="J160" i="1" s="1"/>
  <c r="K160" i="1" s="1"/>
  <c r="L160" i="1" s="1"/>
  <c r="M160" i="1" s="1"/>
  <c r="N160" i="1" s="1"/>
  <c r="O160" i="1" s="1"/>
  <c r="P160" i="1" s="1"/>
  <c r="A161" i="1"/>
  <c r="A162" i="1"/>
  <c r="A163" i="1"/>
  <c r="A164" i="1"/>
  <c r="A165" i="1"/>
  <c r="A166" i="1"/>
  <c r="A167" i="1"/>
  <c r="A168" i="1"/>
  <c r="A169" i="1"/>
  <c r="A170" i="1"/>
  <c r="A171" i="1"/>
  <c r="A172" i="1"/>
  <c r="A173" i="1"/>
  <c r="A174" i="1"/>
  <c r="A175" i="1"/>
  <c r="A176" i="1"/>
  <c r="A177" i="1"/>
  <c r="D179" i="1"/>
  <c r="E179" i="1" s="1"/>
  <c r="F179" i="1" s="1"/>
  <c r="G179" i="1" s="1"/>
  <c r="H179" i="1" s="1"/>
  <c r="I179" i="1" s="1"/>
  <c r="J179" i="1" s="1"/>
  <c r="K179" i="1" s="1"/>
  <c r="L179" i="1" s="1"/>
  <c r="M179" i="1" s="1"/>
  <c r="N179" i="1" s="1"/>
  <c r="O179" i="1" s="1"/>
  <c r="P179" i="1" s="1"/>
  <c r="A180" i="1"/>
  <c r="D180" i="1"/>
  <c r="F180" i="1"/>
  <c r="G180" i="1"/>
  <c r="H180" i="1"/>
  <c r="I180" i="1"/>
  <c r="N180" i="1"/>
  <c r="P180" i="1"/>
  <c r="A181" i="1"/>
  <c r="C181" i="1"/>
  <c r="D181" i="1"/>
  <c r="E181" i="1"/>
  <c r="F181" i="1"/>
  <c r="L181" i="1"/>
  <c r="M181" i="1"/>
  <c r="N181" i="1"/>
  <c r="O181" i="1"/>
  <c r="P181" i="1"/>
  <c r="A182" i="1"/>
  <c r="D182" i="1"/>
  <c r="I182" i="1"/>
  <c r="J182" i="1"/>
  <c r="K182" i="1"/>
  <c r="L182" i="1"/>
  <c r="N182" i="1"/>
  <c r="P182" i="1"/>
  <c r="A183" i="1"/>
  <c r="C183" i="1"/>
  <c r="D183" i="1"/>
  <c r="E183" i="1"/>
  <c r="F183" i="1"/>
  <c r="G183" i="1"/>
  <c r="I183" i="1"/>
  <c r="K183" i="1"/>
  <c r="L183" i="1"/>
  <c r="M183" i="1"/>
  <c r="N183" i="1"/>
  <c r="O183" i="1"/>
  <c r="P183" i="1"/>
  <c r="A184" i="1"/>
  <c r="C184" i="1"/>
  <c r="D184" i="1"/>
  <c r="E184" i="1"/>
  <c r="F184" i="1"/>
  <c r="G184" i="1"/>
  <c r="H184" i="1"/>
  <c r="I184" i="1"/>
  <c r="J184" i="1"/>
  <c r="K184" i="1"/>
  <c r="L184" i="1"/>
  <c r="M184" i="1"/>
  <c r="N184" i="1"/>
  <c r="O184" i="1"/>
  <c r="P184" i="1"/>
  <c r="A185" i="1"/>
  <c r="C185" i="1"/>
  <c r="D185" i="1"/>
  <c r="I185" i="1"/>
  <c r="K185" i="1"/>
  <c r="L185" i="1"/>
  <c r="M185" i="1"/>
  <c r="N185" i="1"/>
  <c r="O185" i="1"/>
  <c r="P185" i="1"/>
  <c r="A186" i="1"/>
  <c r="C186" i="1"/>
  <c r="D186" i="1"/>
  <c r="E186" i="1"/>
  <c r="F186" i="1"/>
  <c r="G186" i="1"/>
  <c r="H186" i="1"/>
  <c r="I186" i="1"/>
  <c r="J186" i="1"/>
  <c r="K186" i="1"/>
  <c r="L186" i="1"/>
  <c r="M186" i="1"/>
  <c r="N186" i="1"/>
  <c r="O186" i="1"/>
  <c r="P186" i="1"/>
  <c r="A187" i="1"/>
  <c r="C187" i="1"/>
  <c r="D187" i="1"/>
  <c r="E187" i="1"/>
  <c r="F187" i="1"/>
  <c r="G187" i="1"/>
  <c r="I187" i="1"/>
  <c r="K187" i="1"/>
  <c r="L187" i="1"/>
  <c r="M187" i="1"/>
  <c r="N187" i="1"/>
  <c r="O187" i="1"/>
  <c r="P187" i="1"/>
  <c r="A188" i="1"/>
  <c r="C188" i="1"/>
  <c r="D188" i="1"/>
  <c r="E188" i="1"/>
  <c r="F188" i="1"/>
  <c r="G188" i="1"/>
  <c r="H188" i="1"/>
  <c r="I188" i="1"/>
  <c r="J188" i="1"/>
  <c r="K188" i="1"/>
  <c r="L188" i="1"/>
  <c r="M188" i="1"/>
  <c r="N188" i="1"/>
  <c r="O188" i="1"/>
  <c r="P188" i="1"/>
  <c r="A189" i="1"/>
  <c r="C189" i="1"/>
  <c r="D189" i="1"/>
  <c r="E189" i="1"/>
  <c r="F189" i="1"/>
  <c r="G189" i="1"/>
  <c r="I189" i="1"/>
  <c r="N189" i="1"/>
  <c r="O189" i="1"/>
  <c r="P189" i="1"/>
  <c r="A190" i="1"/>
  <c r="D190" i="1"/>
  <c r="F190" i="1"/>
  <c r="G190" i="1"/>
  <c r="H190" i="1"/>
  <c r="I190" i="1"/>
  <c r="J190" i="1"/>
  <c r="K190" i="1"/>
  <c r="L190" i="1"/>
  <c r="N190" i="1"/>
  <c r="P190" i="1"/>
  <c r="A191" i="1"/>
  <c r="C191" i="1"/>
  <c r="D191" i="1"/>
  <c r="E191" i="1"/>
  <c r="F191" i="1"/>
  <c r="G191" i="1"/>
  <c r="I191" i="1"/>
  <c r="K191" i="1"/>
  <c r="L191" i="1"/>
  <c r="M191" i="1"/>
  <c r="N191" i="1"/>
  <c r="O191" i="1"/>
  <c r="P191" i="1"/>
  <c r="A192" i="1"/>
  <c r="G192" i="1"/>
  <c r="H192" i="1"/>
  <c r="I192" i="1"/>
  <c r="J192" i="1"/>
  <c r="K192" i="1"/>
  <c r="L192" i="1"/>
  <c r="N192" i="1"/>
  <c r="A193" i="1"/>
  <c r="D193" i="1"/>
  <c r="E193" i="1"/>
  <c r="F193" i="1"/>
  <c r="G193" i="1"/>
  <c r="I193" i="1"/>
  <c r="K193" i="1"/>
  <c r="L193" i="1"/>
  <c r="P193" i="1"/>
  <c r="A194" i="1"/>
  <c r="C194" i="1"/>
  <c r="D194" i="1"/>
  <c r="E194" i="1"/>
  <c r="F194" i="1"/>
  <c r="G194" i="1"/>
  <c r="H194" i="1"/>
  <c r="I194" i="1"/>
  <c r="J194" i="1"/>
  <c r="K194" i="1"/>
  <c r="L194" i="1"/>
  <c r="M194" i="1"/>
  <c r="N194" i="1"/>
  <c r="O194" i="1"/>
  <c r="P194" i="1"/>
  <c r="A195" i="1"/>
  <c r="C195" i="1"/>
  <c r="D195" i="1"/>
  <c r="E195" i="1"/>
  <c r="F195" i="1"/>
  <c r="G195" i="1"/>
  <c r="I195" i="1"/>
  <c r="K195" i="1"/>
  <c r="L195" i="1"/>
  <c r="M195" i="1"/>
  <c r="N195" i="1"/>
  <c r="O195" i="1"/>
  <c r="P195" i="1"/>
  <c r="A196" i="1"/>
  <c r="C196" i="1"/>
  <c r="D196" i="1"/>
  <c r="E196" i="1"/>
  <c r="F196" i="1"/>
  <c r="G196" i="1"/>
  <c r="H196" i="1"/>
  <c r="I196" i="1"/>
  <c r="J196" i="1"/>
  <c r="K196" i="1"/>
  <c r="L196" i="1"/>
  <c r="M196" i="1"/>
  <c r="N196" i="1"/>
  <c r="O196" i="1"/>
  <c r="P196" i="1"/>
  <c r="D198" i="1"/>
  <c r="E198" i="1"/>
  <c r="F198" i="1" s="1"/>
  <c r="G198" i="1" s="1"/>
  <c r="H198" i="1" s="1"/>
  <c r="I198" i="1" s="1"/>
  <c r="J198" i="1" s="1"/>
  <c r="K198" i="1" s="1"/>
  <c r="L198" i="1" s="1"/>
  <c r="M198" i="1" s="1"/>
  <c r="N198" i="1" s="1"/>
  <c r="O198" i="1" s="1"/>
  <c r="P198" i="1" s="1"/>
  <c r="A199" i="1"/>
  <c r="A200" i="1"/>
  <c r="A201" i="1"/>
  <c r="A202" i="1"/>
  <c r="A203" i="1"/>
  <c r="A204" i="1"/>
  <c r="A205" i="1"/>
  <c r="A206" i="1"/>
  <c r="A207" i="1"/>
  <c r="A208" i="1"/>
  <c r="A209" i="1"/>
  <c r="A210" i="1"/>
  <c r="A211" i="1"/>
  <c r="A212" i="1"/>
  <c r="A213" i="1"/>
  <c r="A214" i="1"/>
  <c r="A215" i="1"/>
  <c r="D217" i="1"/>
  <c r="E217" i="1" s="1"/>
  <c r="F217" i="1" s="1"/>
  <c r="G217" i="1" s="1"/>
  <c r="H217" i="1" s="1"/>
  <c r="I217" i="1" s="1"/>
  <c r="J217" i="1" s="1"/>
  <c r="K217" i="1" s="1"/>
  <c r="L217" i="1" s="1"/>
  <c r="M217" i="1" s="1"/>
  <c r="N217" i="1" s="1"/>
  <c r="O217" i="1" s="1"/>
  <c r="P217" i="1" s="1"/>
  <c r="A218" i="1"/>
  <c r="C218" i="1"/>
  <c r="D218" i="1"/>
  <c r="F218" i="1"/>
  <c r="K218" i="1"/>
  <c r="L218" i="1"/>
  <c r="M218" i="1"/>
  <c r="N218" i="1"/>
  <c r="P218" i="1"/>
  <c r="A219" i="1"/>
  <c r="C219" i="1"/>
  <c r="G219" i="1"/>
  <c r="H219" i="1"/>
  <c r="I219" i="1"/>
  <c r="K219" i="1"/>
  <c r="L219" i="1"/>
  <c r="M219" i="1"/>
  <c r="N219" i="1"/>
  <c r="A220" i="1"/>
  <c r="C220" i="1"/>
  <c r="D220" i="1"/>
  <c r="E220" i="1"/>
  <c r="F220" i="1"/>
  <c r="G220" i="1"/>
  <c r="H220" i="1"/>
  <c r="I220" i="1"/>
  <c r="M220" i="1"/>
  <c r="N220" i="1"/>
  <c r="O220" i="1"/>
  <c r="P220" i="1"/>
  <c r="A221" i="1"/>
  <c r="C221" i="1"/>
  <c r="D221" i="1"/>
  <c r="E221" i="1"/>
  <c r="F221" i="1"/>
  <c r="G221" i="1"/>
  <c r="H221" i="1"/>
  <c r="I221" i="1"/>
  <c r="J221" i="1"/>
  <c r="K221" i="1"/>
  <c r="L221" i="1"/>
  <c r="M221" i="1"/>
  <c r="N221" i="1"/>
  <c r="O221" i="1"/>
  <c r="P221" i="1"/>
  <c r="A222" i="1"/>
  <c r="C222" i="1"/>
  <c r="D222" i="1"/>
  <c r="E222" i="1"/>
  <c r="F222" i="1"/>
  <c r="G222" i="1"/>
  <c r="H222" i="1"/>
  <c r="I222" i="1"/>
  <c r="J222" i="1"/>
  <c r="K222" i="1"/>
  <c r="L222" i="1"/>
  <c r="M222" i="1"/>
  <c r="N222" i="1"/>
  <c r="O222" i="1"/>
  <c r="P222" i="1"/>
  <c r="A223" i="1"/>
  <c r="C223" i="1"/>
  <c r="D223" i="1"/>
  <c r="H223" i="1"/>
  <c r="I223" i="1"/>
  <c r="J223" i="1"/>
  <c r="K223" i="1"/>
  <c r="L223" i="1"/>
  <c r="M223" i="1"/>
  <c r="N223" i="1"/>
  <c r="A224" i="1"/>
  <c r="C224" i="1"/>
  <c r="D224" i="1"/>
  <c r="E224" i="1"/>
  <c r="F224" i="1"/>
  <c r="G224" i="1"/>
  <c r="H224" i="1"/>
  <c r="I224" i="1"/>
  <c r="J224" i="1"/>
  <c r="K224" i="1"/>
  <c r="L224" i="1"/>
  <c r="M224" i="1"/>
  <c r="N224" i="1"/>
  <c r="O224" i="1"/>
  <c r="P224" i="1"/>
  <c r="A225" i="1"/>
  <c r="C225" i="1"/>
  <c r="D225" i="1"/>
  <c r="E225" i="1"/>
  <c r="F225" i="1"/>
  <c r="G225" i="1"/>
  <c r="H225" i="1"/>
  <c r="I225" i="1"/>
  <c r="J225" i="1"/>
  <c r="K225" i="1"/>
  <c r="L225" i="1"/>
  <c r="M225" i="1"/>
  <c r="N225" i="1"/>
  <c r="O225" i="1"/>
  <c r="P225" i="1"/>
  <c r="A226" i="1"/>
  <c r="C226" i="1"/>
  <c r="D226" i="1"/>
  <c r="E226" i="1"/>
  <c r="F226" i="1"/>
  <c r="G226" i="1"/>
  <c r="H226" i="1"/>
  <c r="I226" i="1"/>
  <c r="J226" i="1"/>
  <c r="K226" i="1"/>
  <c r="L226" i="1"/>
  <c r="M226" i="1"/>
  <c r="N226" i="1"/>
  <c r="O226" i="1"/>
  <c r="P226" i="1"/>
  <c r="A227" i="1"/>
  <c r="C227" i="1"/>
  <c r="D227" i="1"/>
  <c r="H227" i="1"/>
  <c r="I227" i="1"/>
  <c r="J227" i="1"/>
  <c r="K227" i="1"/>
  <c r="L227" i="1"/>
  <c r="M227" i="1"/>
  <c r="N227" i="1"/>
  <c r="A228" i="1"/>
  <c r="C228" i="1"/>
  <c r="D228" i="1"/>
  <c r="E228" i="1"/>
  <c r="F228" i="1"/>
  <c r="G228" i="1"/>
  <c r="H228" i="1"/>
  <c r="I228" i="1"/>
  <c r="J228" i="1"/>
  <c r="K228" i="1"/>
  <c r="L228" i="1"/>
  <c r="M228" i="1"/>
  <c r="N228" i="1"/>
  <c r="O228" i="1"/>
  <c r="P228" i="1"/>
  <c r="A229" i="1"/>
  <c r="C229" i="1"/>
  <c r="D229" i="1"/>
  <c r="E229" i="1"/>
  <c r="F229" i="1"/>
  <c r="G229" i="1"/>
  <c r="H229" i="1"/>
  <c r="I229" i="1"/>
  <c r="J229" i="1"/>
  <c r="K229" i="1"/>
  <c r="L229" i="1"/>
  <c r="M229" i="1"/>
  <c r="N229" i="1"/>
  <c r="O229" i="1"/>
  <c r="P229" i="1"/>
  <c r="A230" i="1"/>
  <c r="C230" i="1"/>
  <c r="D230" i="1"/>
  <c r="E230" i="1"/>
  <c r="F230" i="1"/>
  <c r="G230" i="1"/>
  <c r="H230" i="1"/>
  <c r="I230" i="1"/>
  <c r="M230" i="1"/>
  <c r="N230" i="1"/>
  <c r="O230" i="1"/>
  <c r="P230" i="1"/>
  <c r="A231" i="1"/>
  <c r="C231" i="1"/>
  <c r="D231" i="1"/>
  <c r="H231" i="1"/>
  <c r="I231" i="1"/>
  <c r="J231" i="1"/>
  <c r="K231" i="1"/>
  <c r="L231" i="1"/>
  <c r="M231" i="1"/>
  <c r="N231" i="1"/>
  <c r="A232" i="1"/>
  <c r="C232" i="1"/>
  <c r="D232" i="1"/>
  <c r="E232" i="1"/>
  <c r="F232" i="1"/>
  <c r="G232" i="1"/>
  <c r="H232" i="1"/>
  <c r="I232" i="1"/>
  <c r="J232" i="1"/>
  <c r="K232" i="1"/>
  <c r="L232" i="1"/>
  <c r="M232" i="1"/>
  <c r="N232" i="1"/>
  <c r="O232" i="1"/>
  <c r="P232" i="1"/>
  <c r="A233" i="1"/>
  <c r="C233" i="1"/>
  <c r="D233" i="1"/>
  <c r="E233" i="1"/>
  <c r="F233" i="1"/>
  <c r="G233" i="1"/>
  <c r="H233" i="1"/>
  <c r="I233" i="1"/>
  <c r="J233" i="1"/>
  <c r="K233" i="1"/>
  <c r="L233" i="1"/>
  <c r="M233" i="1"/>
  <c r="N233" i="1"/>
  <c r="O233" i="1"/>
  <c r="P233" i="1"/>
  <c r="A234" i="1"/>
  <c r="C234" i="1"/>
  <c r="D234" i="1"/>
  <c r="E234" i="1"/>
  <c r="F234" i="1"/>
  <c r="G234" i="1"/>
  <c r="H234" i="1"/>
  <c r="I234" i="1"/>
  <c r="J234" i="1"/>
  <c r="K234" i="1"/>
  <c r="L234" i="1"/>
  <c r="M234" i="1"/>
  <c r="N234" i="1"/>
  <c r="O234" i="1"/>
  <c r="P234" i="1"/>
  <c r="A239" i="1"/>
  <c r="A240" i="1"/>
  <c r="D240" i="1"/>
  <c r="E240" i="1" s="1"/>
  <c r="F240" i="1" s="1"/>
  <c r="G240" i="1" s="1"/>
  <c r="H240" i="1" s="1"/>
  <c r="I240" i="1" s="1"/>
  <c r="A241" i="1"/>
  <c r="D241" i="1"/>
  <c r="E241" i="1"/>
  <c r="F241" i="1" s="1"/>
  <c r="G241" i="1" s="1"/>
  <c r="H241" i="1" s="1"/>
  <c r="I241" i="1" s="1"/>
  <c r="A242" i="1"/>
  <c r="D242" i="1"/>
  <c r="E242" i="1"/>
  <c r="F242" i="1"/>
  <c r="G242" i="1" s="1"/>
  <c r="H242" i="1" s="1"/>
  <c r="I242" i="1" s="1"/>
  <c r="A243" i="1"/>
  <c r="A244" i="1"/>
  <c r="D244" i="1"/>
  <c r="E244" i="1"/>
  <c r="F244" i="1"/>
  <c r="G244" i="1"/>
  <c r="H244" i="1"/>
  <c r="I244" i="1" s="1"/>
  <c r="A245" i="1"/>
  <c r="D245" i="1"/>
  <c r="E245" i="1"/>
  <c r="F245" i="1" s="1"/>
  <c r="G245" i="1" s="1"/>
  <c r="H245" i="1" s="1"/>
  <c r="I245" i="1" s="1"/>
  <c r="A246" i="1"/>
  <c r="D246" i="1"/>
  <c r="E246" i="1" s="1"/>
  <c r="F246" i="1" s="1"/>
  <c r="G246" i="1" s="1"/>
  <c r="H246" i="1" s="1"/>
  <c r="I246" i="1" s="1"/>
  <c r="A247" i="1"/>
  <c r="D247" i="1"/>
  <c r="E247" i="1"/>
  <c r="F247" i="1"/>
  <c r="G247" i="1"/>
  <c r="H247" i="1" s="1"/>
  <c r="I247" i="1" s="1"/>
  <c r="C249" i="1"/>
  <c r="D249" i="1"/>
  <c r="E249" i="1"/>
  <c r="F249" i="1"/>
  <c r="G249" i="1"/>
  <c r="H249" i="1"/>
  <c r="I249" i="1"/>
  <c r="A250" i="1"/>
  <c r="D250" i="1"/>
  <c r="E250" i="1"/>
  <c r="F250" i="1" s="1"/>
  <c r="G250" i="1" s="1"/>
  <c r="H250" i="1" s="1"/>
  <c r="I250" i="1" s="1"/>
  <c r="A251" i="1"/>
  <c r="D251" i="1"/>
  <c r="E251" i="1"/>
  <c r="F251" i="1"/>
  <c r="G251" i="1" s="1"/>
  <c r="H251" i="1" s="1"/>
  <c r="I251" i="1" s="1"/>
  <c r="A252" i="1"/>
  <c r="D252" i="1"/>
  <c r="E252" i="1"/>
  <c r="F252" i="1"/>
  <c r="G252" i="1"/>
  <c r="H252" i="1"/>
  <c r="I252" i="1"/>
  <c r="A253" i="1"/>
  <c r="D253" i="1"/>
  <c r="E253" i="1" s="1"/>
  <c r="F253" i="1" s="1"/>
  <c r="G253" i="1" s="1"/>
  <c r="H253" i="1" s="1"/>
  <c r="I253" i="1" s="1"/>
  <c r="A254" i="1"/>
  <c r="D254" i="1"/>
  <c r="E254" i="1"/>
  <c r="F254" i="1" s="1"/>
  <c r="G254" i="1" s="1"/>
  <c r="H254" i="1" s="1"/>
  <c r="I254" i="1" s="1"/>
  <c r="A255" i="1"/>
  <c r="D255" i="1"/>
  <c r="E255" i="1"/>
  <c r="F255" i="1"/>
  <c r="G255" i="1"/>
  <c r="H255" i="1" s="1"/>
  <c r="I255" i="1" s="1"/>
  <c r="A256" i="1"/>
  <c r="D256" i="1"/>
  <c r="E256" i="1"/>
  <c r="F256" i="1" s="1"/>
  <c r="G256" i="1" s="1"/>
  <c r="H256" i="1" s="1"/>
  <c r="I256" i="1" s="1"/>
  <c r="A257" i="1"/>
  <c r="D257" i="1"/>
  <c r="E257" i="1" s="1"/>
  <c r="F257" i="1" s="1"/>
  <c r="G257" i="1" s="1"/>
  <c r="H257" i="1" s="1"/>
  <c r="I257" i="1" s="1"/>
  <c r="A258" i="1"/>
  <c r="D258" i="1"/>
  <c r="E258" i="1"/>
  <c r="F258" i="1"/>
  <c r="G258" i="1" s="1"/>
  <c r="H258" i="1" s="1"/>
  <c r="I258" i="1" s="1"/>
  <c r="A259" i="1"/>
  <c r="D259" i="1"/>
  <c r="E259" i="1" s="1"/>
  <c r="F259" i="1" s="1"/>
  <c r="G259" i="1" s="1"/>
  <c r="H259" i="1" s="1"/>
  <c r="I259" i="1" s="1"/>
  <c r="A260" i="1"/>
  <c r="D260" i="1"/>
  <c r="E260" i="1"/>
  <c r="F260" i="1" s="1"/>
  <c r="G260" i="1" s="1"/>
  <c r="H260" i="1" s="1"/>
  <c r="I260" i="1" s="1"/>
  <c r="A261" i="1"/>
  <c r="D261" i="1"/>
  <c r="E261" i="1"/>
  <c r="F261" i="1"/>
  <c r="G261" i="1" s="1"/>
  <c r="H261" i="1" s="1"/>
  <c r="I261" i="1" s="1"/>
  <c r="A262" i="1"/>
  <c r="D262" i="1"/>
  <c r="E262" i="1"/>
  <c r="F262" i="1"/>
  <c r="G262" i="1"/>
  <c r="H262" i="1"/>
  <c r="I262" i="1"/>
  <c r="A263" i="1"/>
  <c r="D263" i="1"/>
  <c r="E263" i="1" s="1"/>
  <c r="F263" i="1" s="1"/>
  <c r="G263" i="1" s="1"/>
  <c r="H263" i="1" s="1"/>
  <c r="I263" i="1" s="1"/>
  <c r="A264" i="1"/>
  <c r="D264" i="1"/>
  <c r="E264" i="1"/>
  <c r="F264" i="1" s="1"/>
  <c r="G264" i="1" s="1"/>
  <c r="H264" i="1" s="1"/>
  <c r="I264" i="1" s="1"/>
  <c r="A265" i="1"/>
  <c r="D265" i="1"/>
  <c r="E265" i="1"/>
  <c r="F265" i="1"/>
  <c r="G265" i="1"/>
  <c r="H265" i="1"/>
  <c r="I265" i="1"/>
  <c r="A266" i="1"/>
  <c r="D266" i="1"/>
  <c r="E266" i="1"/>
  <c r="F266" i="1" s="1"/>
  <c r="G266" i="1" s="1"/>
  <c r="H266" i="1" s="1"/>
  <c r="I266" i="1" s="1"/>
  <c r="A269" i="1"/>
  <c r="A270" i="1"/>
  <c r="A271" i="1"/>
  <c r="A272" i="1"/>
  <c r="A273" i="1"/>
  <c r="A274" i="1"/>
  <c r="A275" i="1"/>
  <c r="A278" i="1"/>
  <c r="A279" i="1"/>
  <c r="A280" i="1"/>
  <c r="A281" i="1"/>
  <c r="A282" i="1"/>
  <c r="A283" i="1"/>
  <c r="A284" i="1"/>
  <c r="L81" i="1" l="1"/>
  <c r="E63" i="1"/>
  <c r="F66" i="1"/>
  <c r="J84" i="1"/>
  <c r="N80" i="1"/>
  <c r="J69" i="1"/>
  <c r="K97" i="1"/>
  <c r="K100" i="1"/>
  <c r="J76" i="1"/>
  <c r="M92" i="1"/>
  <c r="K144" i="1"/>
  <c r="C182" i="1"/>
  <c r="M182" i="1"/>
  <c r="C144" i="1"/>
  <c r="M144" i="1"/>
  <c r="E182" i="1"/>
  <c r="O182" i="1"/>
  <c r="G144" i="1"/>
  <c r="I75" i="1"/>
  <c r="J68" i="1"/>
  <c r="C91" i="1"/>
  <c r="C95" i="1"/>
  <c r="G79" i="1"/>
  <c r="F155" i="1"/>
  <c r="P155" i="1"/>
  <c r="H193" i="1"/>
  <c r="H155" i="1"/>
  <c r="J193" i="1"/>
  <c r="L155" i="1"/>
  <c r="F151" i="1"/>
  <c r="P151" i="1"/>
  <c r="H189" i="1"/>
  <c r="H151" i="1"/>
  <c r="J189" i="1"/>
  <c r="L151" i="1"/>
  <c r="C155" i="1"/>
  <c r="I151" i="1"/>
  <c r="D144" i="1"/>
  <c r="D67" i="1" s="1"/>
  <c r="I95" i="1"/>
  <c r="E94" i="1"/>
  <c r="J96" i="1"/>
  <c r="I65" i="1"/>
  <c r="K154" i="1"/>
  <c r="C192" i="1"/>
  <c r="M192" i="1"/>
  <c r="C154" i="1"/>
  <c r="M154" i="1"/>
  <c r="E192" i="1"/>
  <c r="O192" i="1"/>
  <c r="G154" i="1"/>
  <c r="F147" i="1"/>
  <c r="P147" i="1"/>
  <c r="H185" i="1"/>
  <c r="H147" i="1"/>
  <c r="J185" i="1"/>
  <c r="L147" i="1"/>
  <c r="F143" i="1"/>
  <c r="F67" i="1" s="1"/>
  <c r="P143" i="1"/>
  <c r="H181" i="1"/>
  <c r="H79" i="1" s="1"/>
  <c r="J219" i="1"/>
  <c r="H143" i="1"/>
  <c r="H67" i="1" s="1"/>
  <c r="J181" i="1"/>
  <c r="L143" i="1"/>
  <c r="O144" i="1"/>
  <c r="N144" i="1"/>
  <c r="K142" i="1"/>
  <c r="C180" i="1"/>
  <c r="M180" i="1"/>
  <c r="E218" i="1"/>
  <c r="O218" i="1"/>
  <c r="C142" i="1"/>
  <c r="M142" i="1"/>
  <c r="E180" i="1"/>
  <c r="O180" i="1"/>
  <c r="G218" i="1"/>
  <c r="G95" i="1" s="1"/>
  <c r="G142" i="1"/>
  <c r="G231" i="1"/>
  <c r="L230" i="1"/>
  <c r="G227" i="1"/>
  <c r="G223" i="1"/>
  <c r="L220" i="1"/>
  <c r="F219" i="1"/>
  <c r="F95" i="1" s="1"/>
  <c r="J218" i="1"/>
  <c r="O193" i="1"/>
  <c r="C193" i="1"/>
  <c r="F192" i="1"/>
  <c r="M189" i="1"/>
  <c r="G185" i="1"/>
  <c r="H182" i="1"/>
  <c r="K181" i="1"/>
  <c r="L180" i="1"/>
  <c r="K155" i="1"/>
  <c r="N154" i="1"/>
  <c r="C151" i="1"/>
  <c r="O147" i="1"/>
  <c r="L144" i="1"/>
  <c r="M143" i="1"/>
  <c r="O142" i="1"/>
  <c r="F157" i="1"/>
  <c r="P157" i="1"/>
  <c r="H195" i="1"/>
  <c r="H157" i="1"/>
  <c r="J195" i="1"/>
  <c r="F153" i="1"/>
  <c r="P153" i="1"/>
  <c r="H191" i="1"/>
  <c r="H153" i="1"/>
  <c r="J191" i="1"/>
  <c r="L153" i="1"/>
  <c r="D79" i="1"/>
  <c r="F231" i="1"/>
  <c r="F227" i="1"/>
  <c r="P223" i="1"/>
  <c r="F223" i="1"/>
  <c r="K220" i="1"/>
  <c r="P219" i="1"/>
  <c r="E219" i="1"/>
  <c r="I218" i="1"/>
  <c r="N193" i="1"/>
  <c r="D192" i="1"/>
  <c r="D83" i="1" s="1"/>
  <c r="L189" i="1"/>
  <c r="F185" i="1"/>
  <c r="F79" i="1" s="1"/>
  <c r="G182" i="1"/>
  <c r="G83" i="1" s="1"/>
  <c r="I181" i="1"/>
  <c r="I83" i="1" s="1"/>
  <c r="K180" i="1"/>
  <c r="K79" i="1" s="1"/>
  <c r="J155" i="1"/>
  <c r="L154" i="1"/>
  <c r="O151" i="1"/>
  <c r="N147" i="1"/>
  <c r="J144" i="1"/>
  <c r="K143" i="1"/>
  <c r="N142" i="1"/>
  <c r="F149" i="1"/>
  <c r="P149" i="1"/>
  <c r="H187" i="1"/>
  <c r="H83" i="1" s="1"/>
  <c r="H149" i="1"/>
  <c r="J187" i="1"/>
  <c r="L149" i="1"/>
  <c r="P231" i="1"/>
  <c r="K230" i="1"/>
  <c r="P227" i="1"/>
  <c r="O231" i="1"/>
  <c r="E231" i="1"/>
  <c r="J230" i="1"/>
  <c r="O227" i="1"/>
  <c r="E227" i="1"/>
  <c r="O223" i="1"/>
  <c r="E223" i="1"/>
  <c r="J220" i="1"/>
  <c r="O219" i="1"/>
  <c r="D219" i="1"/>
  <c r="D95" i="1" s="1"/>
  <c r="H218" i="1"/>
  <c r="H95" i="1" s="1"/>
  <c r="M193" i="1"/>
  <c r="P192" i="1"/>
  <c r="K189" i="1"/>
  <c r="E185" i="1"/>
  <c r="F182" i="1"/>
  <c r="F83" i="1" s="1"/>
  <c r="G181" i="1"/>
  <c r="J180" i="1"/>
  <c r="J79" i="1" s="1"/>
  <c r="M157" i="1"/>
  <c r="I155" i="1"/>
  <c r="J154" i="1"/>
  <c r="K153" i="1"/>
  <c r="N151" i="1"/>
  <c r="I149" i="1"/>
  <c r="M147" i="1"/>
  <c r="I144" i="1"/>
  <c r="J143" i="1"/>
  <c r="L142" i="1"/>
  <c r="K152" i="1"/>
  <c r="C190" i="1"/>
  <c r="M190" i="1"/>
  <c r="C152" i="1"/>
  <c r="M152" i="1"/>
  <c r="E190" i="1"/>
  <c r="O190" i="1"/>
  <c r="G152" i="1"/>
  <c r="F145" i="1"/>
  <c r="P145" i="1"/>
  <c r="H183" i="1"/>
  <c r="H145" i="1"/>
  <c r="J183" i="1"/>
  <c r="L145" i="1"/>
  <c r="L64" i="1"/>
  <c r="M158" i="1"/>
  <c r="C158" i="1"/>
  <c r="M148" i="1"/>
  <c r="C148" i="1"/>
  <c r="I79" i="1" l="1"/>
  <c r="C79" i="1"/>
  <c r="C83" i="1"/>
  <c r="J95" i="1"/>
  <c r="M64" i="1"/>
  <c r="N92" i="1"/>
  <c r="G67" i="1"/>
  <c r="E91" i="1"/>
  <c r="F94" i="1"/>
  <c r="M81" i="1"/>
  <c r="L79" i="1"/>
  <c r="L97" i="1"/>
  <c r="K69" i="1"/>
  <c r="K68" i="1"/>
  <c r="L96" i="1"/>
  <c r="J67" i="1"/>
  <c r="O80" i="1"/>
  <c r="D91" i="1"/>
  <c r="K99" i="1"/>
  <c r="K95" i="1" s="1"/>
  <c r="J75" i="1"/>
  <c r="E83" i="1"/>
  <c r="E79" i="1"/>
  <c r="C67" i="1"/>
  <c r="C63" i="1"/>
  <c r="K84" i="1"/>
  <c r="J83" i="1"/>
  <c r="G66" i="1"/>
  <c r="F63" i="1"/>
  <c r="I67" i="1"/>
  <c r="E95" i="1"/>
  <c r="K93" i="1"/>
  <c r="J65" i="1"/>
  <c r="K76" i="1"/>
  <c r="L100" i="1"/>
  <c r="K83" i="1" l="1"/>
  <c r="L84" i="1"/>
  <c r="M100" i="1"/>
  <c r="L76" i="1"/>
  <c r="K65" i="1"/>
  <c r="L93" i="1"/>
  <c r="K67" i="1"/>
  <c r="L68" i="1"/>
  <c r="M96" i="1"/>
  <c r="L99" i="1"/>
  <c r="K75" i="1"/>
  <c r="P80" i="1"/>
  <c r="O92" i="1"/>
  <c r="N64" i="1"/>
  <c r="N81" i="1"/>
  <c r="M79" i="1"/>
  <c r="L95" i="1"/>
  <c r="L69" i="1"/>
  <c r="M97" i="1"/>
  <c r="G63" i="1"/>
  <c r="H66" i="1"/>
  <c r="G94" i="1"/>
  <c r="F91" i="1"/>
  <c r="M68" i="1" l="1"/>
  <c r="N96" i="1"/>
  <c r="G91" i="1"/>
  <c r="H94" i="1"/>
  <c r="I66" i="1"/>
  <c r="J94" i="1"/>
  <c r="J91" i="1" s="1"/>
  <c r="H63" i="1"/>
  <c r="M93" i="1"/>
  <c r="L65" i="1"/>
  <c r="M84" i="1"/>
  <c r="L83" i="1"/>
  <c r="O81" i="1"/>
  <c r="N79" i="1"/>
  <c r="O64" i="1"/>
  <c r="P92" i="1"/>
  <c r="N100" i="1"/>
  <c r="M76" i="1"/>
  <c r="N97" i="1"/>
  <c r="M69" i="1"/>
  <c r="L75" i="1"/>
  <c r="M99" i="1"/>
  <c r="M95" i="1"/>
  <c r="M75" i="1" l="1"/>
  <c r="N99" i="1"/>
  <c r="K94" i="1"/>
  <c r="K91" i="1" s="1"/>
  <c r="J66" i="1"/>
  <c r="I63" i="1"/>
  <c r="H91" i="1"/>
  <c r="I94" i="1"/>
  <c r="I91" i="1" s="1"/>
  <c r="N68" i="1"/>
  <c r="O96" i="1"/>
  <c r="M67" i="1"/>
  <c r="P64" i="1"/>
  <c r="O97" i="1"/>
  <c r="N69" i="1"/>
  <c r="P81" i="1"/>
  <c r="P79" i="1" s="1"/>
  <c r="O79" i="1"/>
  <c r="N76" i="1"/>
  <c r="O100" i="1"/>
  <c r="N84" i="1"/>
  <c r="M83" i="1"/>
  <c r="N95" i="1"/>
  <c r="M65" i="1"/>
  <c r="N93" i="1"/>
  <c r="L67" i="1"/>
  <c r="O76" i="1" l="1"/>
  <c r="P76" i="1" s="1"/>
  <c r="P100" i="1"/>
  <c r="O68" i="1"/>
  <c r="P96" i="1"/>
  <c r="O69" i="1"/>
  <c r="P69" i="1" s="1"/>
  <c r="P97" i="1"/>
  <c r="O93" i="1"/>
  <c r="N65" i="1"/>
  <c r="L94" i="1"/>
  <c r="L91" i="1" s="1"/>
  <c r="K66" i="1"/>
  <c r="J63" i="1"/>
  <c r="O84" i="1"/>
  <c r="N83" i="1"/>
  <c r="N75" i="1"/>
  <c r="N67" i="1" s="1"/>
  <c r="O99" i="1"/>
  <c r="O95" i="1" s="1"/>
  <c r="O65" i="1" l="1"/>
  <c r="P93" i="1"/>
  <c r="O83" i="1"/>
  <c r="P84" i="1"/>
  <c r="P83" i="1" s="1"/>
  <c r="P95" i="1"/>
  <c r="O67" i="1"/>
  <c r="P68" i="1"/>
  <c r="P67" i="1" s="1"/>
  <c r="M94" i="1"/>
  <c r="M91" i="1" s="1"/>
  <c r="L66" i="1"/>
  <c r="K63" i="1"/>
  <c r="O75" i="1"/>
  <c r="P75" i="1" s="1"/>
  <c r="P99" i="1"/>
  <c r="M66" i="1" l="1"/>
  <c r="N94" i="1"/>
  <c r="N91" i="1" s="1"/>
  <c r="L63" i="1"/>
  <c r="P65" i="1"/>
  <c r="N66" i="1" l="1"/>
  <c r="O94" i="1"/>
  <c r="O91" i="1" s="1"/>
  <c r="M63" i="1"/>
  <c r="O66" i="1" l="1"/>
  <c r="P94" i="1"/>
  <c r="P91" i="1" s="1"/>
  <c r="N63" i="1"/>
  <c r="P66" i="1" l="1"/>
  <c r="P63" i="1" s="1"/>
  <c r="O6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54" authorId="0" shapeId="0" xr:uid="{8F5A2601-C68E-4E81-AABC-BE05522BC9E2}">
      <text>
        <r>
          <rPr>
            <b/>
            <sz val="9"/>
            <color indexed="81"/>
            <rFont val="Tahoma"/>
            <family val="2"/>
          </rPr>
          <t>Author:</t>
        </r>
        <r>
          <rPr>
            <sz val="9"/>
            <color indexed="81"/>
            <rFont val="Tahoma"/>
            <family val="2"/>
          </rPr>
          <t xml:space="preserve">
https://sci-hub.tw/10.1093/nop/npz042</t>
        </r>
      </text>
    </comment>
    <comment ref="B56" authorId="0" shapeId="0" xr:uid="{D5432E65-3C84-4571-B1C9-5A040AD53EF9}">
      <text>
        <r>
          <rPr>
            <b/>
            <sz val="9"/>
            <color indexed="81"/>
            <rFont val="Tahoma"/>
            <family val="2"/>
          </rPr>
          <t>Author:</t>
        </r>
        <r>
          <rPr>
            <sz val="9"/>
            <color indexed="81"/>
            <rFont val="Tahoma"/>
            <family val="2"/>
          </rPr>
          <t xml:space="preserve">
Not prgression rate: Patients alive for 2nd LOT</t>
        </r>
      </text>
    </comment>
    <comment ref="B57" authorId="0" shapeId="0" xr:uid="{014A1FC4-2B2B-48BB-88BB-FAA06864BDD7}">
      <text>
        <r>
          <rPr>
            <b/>
            <sz val="9"/>
            <color indexed="81"/>
            <rFont val="Tahoma"/>
            <family val="2"/>
          </rPr>
          <t>Author:</t>
        </r>
        <r>
          <rPr>
            <sz val="9"/>
            <color indexed="81"/>
            <rFont val="Tahoma"/>
            <family val="2"/>
          </rPr>
          <t xml:space="preserve">
https://sci-hub.tw/10.1093/nop/npz042</t>
        </r>
      </text>
    </comment>
    <comment ref="B65" authorId="0" shapeId="0" xr:uid="{47B13EA5-E5F6-4751-BC47-7F4BB9A38250}">
      <text>
        <r>
          <rPr>
            <b/>
            <sz val="9"/>
            <color indexed="81"/>
            <rFont val="Tahoma"/>
            <family val="2"/>
          </rPr>
          <t>Author:</t>
        </r>
        <r>
          <rPr>
            <sz val="9"/>
            <color indexed="81"/>
            <rFont val="Tahoma"/>
            <family val="2"/>
          </rPr>
          <t xml:space="preserve">
Other agent(s) combined with temozolomide include carboplatin, chloroquine, cyclophosphamide, cisplatin, irinotecan, lomustine, methotrexate, thalidomide, and polifeprosan 20 with carmustine implant.</t>
        </r>
      </text>
    </comment>
    <comment ref="B76" authorId="0" shapeId="0" xr:uid="{B44B5E82-DDDC-4A5D-81B2-9084CC333D02}">
      <text>
        <r>
          <rPr>
            <b/>
            <sz val="9"/>
            <color indexed="81"/>
            <rFont val="Tahoma"/>
            <family val="2"/>
          </rPr>
          <t>Author:</t>
        </r>
        <r>
          <rPr>
            <sz val="9"/>
            <color indexed="81"/>
            <rFont val="Tahoma"/>
            <family val="2"/>
          </rPr>
          <t xml:space="preserve">
Nitrosoureas, including lomustine (CCNU), carmustine (BCNU)  have decent blood-brain barrier penetration. </t>
        </r>
      </text>
    </comment>
    <comment ref="F84" authorId="0" shapeId="0" xr:uid="{8D038246-F5B9-45C0-AAD9-29D9B148F8CC}">
      <text>
        <r>
          <rPr>
            <b/>
            <sz val="9"/>
            <color indexed="81"/>
            <rFont val="Tahoma"/>
            <family val="2"/>
          </rPr>
          <t>Author:</t>
        </r>
        <r>
          <rPr>
            <sz val="9"/>
            <color indexed="81"/>
            <rFont val="Tahoma"/>
            <family val="2"/>
          </rPr>
          <t xml:space="preserve">
Impact of biosimilar launch</t>
        </r>
      </text>
    </comment>
    <comment ref="B87" authorId="0" shapeId="0" xr:uid="{E3DC5186-B7FA-482D-BEE4-86A30441E054}">
      <text>
        <r>
          <rPr>
            <b/>
            <sz val="9"/>
            <color rgb="FF000000"/>
            <rFont val="Tahoma"/>
            <family val="2"/>
          </rPr>
          <t>Author:</t>
        </r>
        <r>
          <rPr>
            <sz val="9"/>
            <color rgb="FF000000"/>
            <rFont val="Tahoma"/>
            <family val="2"/>
          </rPr>
          <t xml:space="preserve">
</t>
        </r>
        <r>
          <rPr>
            <sz val="9"/>
            <color rgb="FF000000"/>
            <rFont val="Tahoma"/>
            <family val="2"/>
          </rPr>
          <t>Fotemustine is available in some European countries, but has not been approved for use in the United States.</t>
        </r>
      </text>
    </comment>
    <comment ref="E115" authorId="0" shapeId="0" xr:uid="{CA409481-B84F-4FF5-86B5-713BF3A9F304}">
      <text>
        <r>
          <rPr>
            <b/>
            <sz val="9"/>
            <color indexed="81"/>
            <rFont val="Tahoma"/>
            <family val="2"/>
          </rPr>
          <t>Author:</t>
        </r>
        <r>
          <rPr>
            <sz val="9"/>
            <color indexed="81"/>
            <rFont val="Tahoma"/>
            <family val="2"/>
          </rPr>
          <t xml:space="preserve">
Convection Enhanced Delivery (CED) is a therapeutic strategy that was developed to facilitate targeted delivery of pharmaceuticals to the brain. The CED procedure involves a minimally invasive surgical exposure of the brain, followed by placement of small diameter catheters directly into the brain tumor.</t>
        </r>
      </text>
    </comment>
    <comment ref="B117" authorId="0" shapeId="0" xr:uid="{BDBC5A86-8FF6-42EB-A062-2B92C465AFE4}">
      <text>
        <r>
          <rPr>
            <b/>
            <sz val="9"/>
            <color indexed="81"/>
            <rFont val="Tahoma"/>
            <family val="2"/>
          </rPr>
          <t>Author:</t>
        </r>
        <r>
          <rPr>
            <sz val="9"/>
            <color indexed="81"/>
            <rFont val="Tahoma"/>
            <family val="2"/>
          </rPr>
          <t xml:space="preserve">
novio Pharma (INO) Reports Positive Interim Data from Ph. 2 Study (NCT03491683) with INO-5401 in Combination with PD-1 Inhibitor Libtayo (cemiplimab)</t>
        </r>
      </text>
    </comment>
    <comment ref="B136" authorId="0" shapeId="0" xr:uid="{6C70AFB7-4752-4795-A102-DE90C9A6967A}">
      <text>
        <r>
          <rPr>
            <b/>
            <sz val="9"/>
            <color indexed="81"/>
            <rFont val="Tahoma"/>
            <family val="2"/>
          </rPr>
          <t>Author:</t>
        </r>
        <r>
          <rPr>
            <sz val="9"/>
            <color indexed="81"/>
            <rFont val="Tahoma"/>
            <family val="2"/>
          </rPr>
          <t xml:space="preserve">
novio Pharma (INO) Reports Positive Interim Data from Ph. 2 Study (NCT03491683) with INO-5401 in Combination with PD-1 Inhibitor Libtayo (cemiplimab)</t>
        </r>
      </text>
    </comment>
    <comment ref="B155" authorId="0" shapeId="0" xr:uid="{97F321EC-D825-4BF9-965F-F2B9AC2013A8}">
      <text>
        <r>
          <rPr>
            <b/>
            <sz val="9"/>
            <color indexed="81"/>
            <rFont val="Tahoma"/>
            <family val="2"/>
          </rPr>
          <t>Author:</t>
        </r>
        <r>
          <rPr>
            <sz val="9"/>
            <color indexed="81"/>
            <rFont val="Tahoma"/>
            <family val="2"/>
          </rPr>
          <t xml:space="preserve">
novio Pharma (INO) Reports Positive Interim Data from Ph. 2 Study (NCT03491683) with INO-5401 in Combination with PD-1 Inhibitor Libtayo (cemiplimab)</t>
        </r>
      </text>
    </comment>
    <comment ref="B174" authorId="0" shapeId="0" xr:uid="{799283CE-6C26-475F-8F3F-C6E63A3A4F89}">
      <text>
        <r>
          <rPr>
            <b/>
            <sz val="9"/>
            <color indexed="81"/>
            <rFont val="Tahoma"/>
            <family val="2"/>
          </rPr>
          <t>Author:</t>
        </r>
        <r>
          <rPr>
            <sz val="9"/>
            <color indexed="81"/>
            <rFont val="Tahoma"/>
            <family val="2"/>
          </rPr>
          <t xml:space="preserve">
novio Pharma (INO) Reports Positive Interim Data from Ph. 2 Study (NCT03491683) with INO-5401 in Combination with PD-1 Inhibitor Libtayo (cemiplimab)</t>
        </r>
      </text>
    </comment>
    <comment ref="B193" authorId="0" shapeId="0" xr:uid="{418FEBC5-FA6B-4D19-98FE-14CB84FC95BC}">
      <text>
        <r>
          <rPr>
            <b/>
            <sz val="9"/>
            <color indexed="81"/>
            <rFont val="Tahoma"/>
            <family val="2"/>
          </rPr>
          <t>Author:</t>
        </r>
        <r>
          <rPr>
            <sz val="9"/>
            <color indexed="81"/>
            <rFont val="Tahoma"/>
            <family val="2"/>
          </rPr>
          <t xml:space="preserve">
novio Pharma (INO) Reports Positive Interim Data from Ph. 2 Study (NCT03491683) with INO-5401 in Combination with PD-1 Inhibitor Libtayo (cemiplimab)</t>
        </r>
      </text>
    </comment>
    <comment ref="B212" authorId="0" shapeId="0" xr:uid="{505AC252-92FA-4E01-A477-CA42ADB74D64}">
      <text>
        <r>
          <rPr>
            <b/>
            <sz val="9"/>
            <color indexed="81"/>
            <rFont val="Tahoma"/>
            <family val="2"/>
          </rPr>
          <t>Author:</t>
        </r>
        <r>
          <rPr>
            <sz val="9"/>
            <color indexed="81"/>
            <rFont val="Tahoma"/>
            <family val="2"/>
          </rPr>
          <t xml:space="preserve">
novio Pharma (INO) Reports Positive Interim Data from Ph. 2 Study (NCT03491683) with INO-5401 in Combination with PD-1 Inhibitor Libtayo (cemiplimab)</t>
        </r>
      </text>
    </comment>
    <comment ref="B231" authorId="0" shapeId="0" xr:uid="{F94DAC40-C5B9-4A22-8620-D887612C7503}">
      <text>
        <r>
          <rPr>
            <b/>
            <sz val="9"/>
            <color indexed="81"/>
            <rFont val="Tahoma"/>
            <family val="2"/>
          </rPr>
          <t>Author:</t>
        </r>
        <r>
          <rPr>
            <sz val="9"/>
            <color indexed="81"/>
            <rFont val="Tahoma"/>
            <family val="2"/>
          </rPr>
          <t xml:space="preserve">
novio Pharma (INO) Reports Positive Interim Data from Ph. 2 Study (NCT03491683) with INO-5401 in Combination with PD-1 Inhibitor Libtayo (cemiplimab)</t>
        </r>
      </text>
    </comment>
    <comment ref="B241" authorId="0" shapeId="0" xr:uid="{9A1A0C54-3654-4FA9-8EA5-E5CD9AC37015}">
      <text>
        <r>
          <rPr>
            <b/>
            <sz val="9"/>
            <color indexed="81"/>
            <rFont val="Tahoma"/>
            <family val="2"/>
          </rPr>
          <t>Author:</t>
        </r>
        <r>
          <rPr>
            <sz val="9"/>
            <color indexed="81"/>
            <rFont val="Tahoma"/>
            <family val="2"/>
          </rPr>
          <t xml:space="preserve">
https://www.ncbi.nlm.nih.gov/pmc/articles/PMC4070631/</t>
        </r>
      </text>
    </comment>
    <comment ref="B244" authorId="0" shapeId="0" xr:uid="{A4F185D2-816E-4895-B568-CE11D635AB96}">
      <text>
        <r>
          <rPr>
            <b/>
            <sz val="9"/>
            <color indexed="81"/>
            <rFont val="Tahoma"/>
            <family val="2"/>
          </rPr>
          <t>Author:</t>
        </r>
        <r>
          <rPr>
            <sz val="9"/>
            <color indexed="81"/>
            <rFont val="Tahoma"/>
            <family val="2"/>
          </rPr>
          <t xml:space="preserve">
or patients treated with bevacizumab alone on a 10 mg/kg dose biweekly, the cost is approximately $10,000 to $20,000 per month (as calculated by Epocrates; Athenahealth, Princeton, NJ) or $120,000 to $240,000 per year for a patient</t>
        </r>
      </text>
    </comment>
  </commentList>
</comments>
</file>

<file path=xl/sharedStrings.xml><?xml version="1.0" encoding="utf-8"?>
<sst xmlns="http://schemas.openxmlformats.org/spreadsheetml/2006/main" count="550" uniqueCount="256">
  <si>
    <t>Japan</t>
  </si>
  <si>
    <t>UK</t>
  </si>
  <si>
    <t>Spain</t>
  </si>
  <si>
    <t>Italy</t>
  </si>
  <si>
    <t>France</t>
  </si>
  <si>
    <t>Germany</t>
  </si>
  <si>
    <t>Internal assumptions</t>
  </si>
  <si>
    <t>USA</t>
  </si>
  <si>
    <t>PAP</t>
  </si>
  <si>
    <t>RAR</t>
  </si>
  <si>
    <r>
      <t xml:space="preserve">Ad-RTS-hIL-12 + Veledimex </t>
    </r>
    <r>
      <rPr>
        <sz val="11"/>
        <color theme="1"/>
        <rFont val="Calibri"/>
        <family val="2"/>
      </rPr>
      <t>± Cemiplimab-Rwlc</t>
    </r>
  </si>
  <si>
    <t>Everolimus (RAD001)</t>
  </si>
  <si>
    <t>Eflornithine + Lomustine</t>
  </si>
  <si>
    <t>INO-5401+ INO-9012+Cemiplimab (REGN2810)</t>
  </si>
  <si>
    <t>pp65-shLAMP DC with GM-CSF (ITI-1000)</t>
  </si>
  <si>
    <t xml:space="preserve">MDNA55 </t>
  </si>
  <si>
    <t>AV-GBM-1</t>
  </si>
  <si>
    <t>Paxalisib (GDC-0084)</t>
  </si>
  <si>
    <t>VBI-1901</t>
  </si>
  <si>
    <t>Selinexor (KPT-330)</t>
  </si>
  <si>
    <t>ONC201</t>
  </si>
  <si>
    <t>VAL-083 (Dianhydrogalactitol)</t>
  </si>
  <si>
    <t>Tasadenoturev (DNX-2401) + Pembrolizumab</t>
  </si>
  <si>
    <t>Durvalumab</t>
  </si>
  <si>
    <t>Ofranergene obadenovec (VB-111)</t>
  </si>
  <si>
    <t>Trans Sodium Crocetinate </t>
  </si>
  <si>
    <t xml:space="preserve">Annual cost of therapy based on the data triangulation from the various sources (i.e. secondarys searches, News/ reports, public avaialble pricing database) and internal benchmarking </t>
  </si>
  <si>
    <t>Regorafenib</t>
  </si>
  <si>
    <t>Emerging Therapies- Annual cost of therapy</t>
  </si>
  <si>
    <t>Other Systemic therapies (Concomitant and Adjuvant Chemotherapy agents)</t>
  </si>
  <si>
    <t>Temozolomide (Both as Combination and monotherapy)</t>
  </si>
  <si>
    <t>Bevacizumab Combination therapy</t>
  </si>
  <si>
    <t>Bevacizumab monotherapy</t>
  </si>
  <si>
    <t>Second line of treatment</t>
  </si>
  <si>
    <t>Temozolomide monotherapy</t>
  </si>
  <si>
    <t>Temozolomide+Radiation Therapy (RT) or Radiation Alone- Maintanance therapy</t>
  </si>
  <si>
    <t>Surgery ± Radiation Therapy/ Chemotherapy</t>
  </si>
  <si>
    <r>
      <rPr>
        <b/>
        <sz val="11"/>
        <color theme="1"/>
        <rFont val="Calibri"/>
        <family val="2"/>
        <scheme val="minor"/>
      </rPr>
      <t>Annual cost of therapy based on the data triangulation from the various sources (i.e. secondarys searches, News/ reports, public available pricing database, cost analysis studies) and internal benchmarking</t>
    </r>
    <r>
      <rPr>
        <sz val="11"/>
        <color theme="1"/>
        <rFont val="Calibri"/>
        <family val="2"/>
        <scheme val="minor"/>
      </rPr>
      <t xml:space="preserve">
Example of some sources considered:  https://www.researchgate.net/publication/264431089_A_Review_of_the_Economic_Burden_of_Glioblastoma_and_the_Cost_Effectiveness_of_Pharmacologic_Treatments
https://ascopubs.org/doi/10.1200/JOP.2012.000560; https://www.tandfonline.com/doi/full/10.1080/14737140.2017.1351355; https://www.ncbi.nlm.nih.gov/pmc/articles/PMC4070631/; https://www.ncbi.nlm.nih.gov/pmc/articles/PMC4534865/; https://www.ncbi.nlm.nih.gov/pubmed/25085219; chrome-extension://oemmndcbldboiebfnladdacbdfmadadm/http://www.health.gov.on.ca/en/pro/programs/drugs/ced/pdf/avastin_gbm.pdf; chrome-extension://oemmndcbldboiebfnladdacbdfmadadm/https://www.jmcp.org/doi/pdf/10.18553/jmcp.2019.25.4.428</t>
    </r>
  </si>
  <si>
    <t>First line of drug therapy following Surgery</t>
  </si>
  <si>
    <t>Current - Annual cost of therapy</t>
  </si>
  <si>
    <t>Market access</t>
  </si>
  <si>
    <t>Emerging Drug Uptake:Japan</t>
  </si>
  <si>
    <t>Uptake Pattern Curve: Japan</t>
  </si>
  <si>
    <t>Emerging Drug Uptake:EU5</t>
  </si>
  <si>
    <t>Uptake Pattern Curve: EU5</t>
  </si>
  <si>
    <t>Emerging Drug Uptake:US</t>
  </si>
  <si>
    <t>Uptake Pattern Curve: United States</t>
  </si>
  <si>
    <t>Slow-medium</t>
  </si>
  <si>
    <t>II</t>
  </si>
  <si>
    <t>up to 21 Years   (Child, Adult)</t>
  </si>
  <si>
    <t>Pediatric Brain Tumors Including DIPG, Recurrent Glioblastoma</t>
  </si>
  <si>
    <t>Rare Pediatric Disorder Designation for DIPG, Fast Track Designation for Recurrent Glioblastoma</t>
  </si>
  <si>
    <t xml:space="preserve">Gene therapy - Intratumoral injection, Oral Veledimex </t>
  </si>
  <si>
    <t>Ziopharm</t>
  </si>
  <si>
    <t>Targeted tumor cytotoxicity and induction of systemic T-cell memory</t>
  </si>
  <si>
    <t>Fifteen of 22 participants (68%) demonstrated a response, defined as either shrinkage (1 complete response, 2 partial response) or arrest of tumor growth (12 stable disease). Of these, 10/15 remained free of progression (median follow-up, 33 mo)</t>
  </si>
  <si>
    <t>Medium-fast</t>
  </si>
  <si>
    <t>3 Years and older (Child, Adult, Older Adult)</t>
  </si>
  <si>
    <t>Chemotherapy and/or Radiation-Refractory Progressive or Recurrent Low-Grade Gliomas, Pediatric Recurrent Progressive Low-grade Gliomas, Astrocytoma, Adult Diffuse Astrocytoma, Adult Mixed Glioma, Adult Oligodendroglioma, Adult Subependymal Giant Cell Astrocytoma, Recurrent Adult Brain Neoplasm</t>
  </si>
  <si>
    <t>NA</t>
  </si>
  <si>
    <t>Oral</t>
  </si>
  <si>
    <t>Novartis</t>
  </si>
  <si>
    <t>mTOR inhibitor</t>
  </si>
  <si>
    <t>Study's primary completion is June 2020 ; Investigators Hope Glioma Trial of Eflornithine Will Clinch Approval ; if treatment is successful, it will be the first targeted therapy for this patient population</t>
  </si>
  <si>
    <t>III</t>
  </si>
  <si>
    <t>18 Years and older   (Adult, Older Adult)</t>
  </si>
  <si>
    <t>In treating patients whose anaplastic astrocytoma has recurred/progressed after radiation and temozolomide chemotherapy or Recurrent AA</t>
  </si>
  <si>
    <t>FDA: Breakthrough Designation and Orphan Drug Designation for anaplastic glioma;
EMA: Orphan Medicinal Product status for glioma</t>
  </si>
  <si>
    <t>Orbus Therapeutics</t>
  </si>
  <si>
    <t xml:space="preserve"> </t>
  </si>
  <si>
    <t>interim data from the 52-patient clinical trial showed that 80% (16 of 20) of MGMT gene promoter methylated patients and 75% (24 of 32) of unmethylated patients were progression-free at six months (PFS6)</t>
  </si>
  <si>
    <t>This immunotherapy combination with a PD-1 checkpoint inhibitor also exhibited supportive safety, tolerability, and immunogenicity data and suggested an acceptable safety profile consistent with that of Libtayo and Inovio's platform technology. The majority of patients tested had a T cell immune response to one or more tumor-associated antigens encoded by INO-5401. Immune responses to all three tumor-associated antigens were demonstrated in this study. Inovio plans to report 12- and 18-month overall survival data next year.
Inovio and Regeneron Pharmaceuticals are investigating this combinational treatment together in a phase Ib/IIa (as per ClinicalTrial.gov) clinical trial that will evaluate INO-9012 in combination with REGN2810 (another PD-1 inhibitor) and INO-5401 in patients with newly diagnosed glioblastoma multiforme (GBM)</t>
  </si>
  <si>
    <t>Medium</t>
  </si>
  <si>
    <t>I/II</t>
  </si>
  <si>
    <t xml:space="preserve"> 70 Years and older   (Older Adult)</t>
  </si>
  <si>
    <t>Newly Diagnosed Glioblastoma Multiforme</t>
  </si>
  <si>
    <t>Intramuscular</t>
  </si>
  <si>
    <t>Inovio Pharmaceuticals</t>
  </si>
  <si>
    <r>
      <t xml:space="preserve">In </t>
    </r>
    <r>
      <rPr>
        <b/>
        <sz val="11"/>
        <color theme="1"/>
        <rFont val="Calibri Light"/>
        <family val="2"/>
      </rPr>
      <t>November 2019</t>
    </r>
    <r>
      <rPr>
        <sz val="11"/>
        <color theme="1"/>
        <rFont val="Calibri Light"/>
        <family val="2"/>
      </rPr>
      <t xml:space="preserve">, Immunomic Therapeutics published results, which demonstrated that a CMV pp65-LAMP RNA-pulsed DC vaccination was associated with positive immunologic and clinical response in a patient with MGMT unmethylated midline glioblastoma (GBM). </t>
    </r>
  </si>
  <si>
    <t>Immunomic Therapeutics</t>
  </si>
  <si>
    <t>Cancer Vaccines</t>
  </si>
  <si>
    <t>Only Newly Diagnosed</t>
  </si>
  <si>
    <r>
      <rPr>
        <sz val="7"/>
        <color theme="1"/>
        <rFont val="Times New Roman"/>
        <family val="1"/>
      </rPr>
      <t xml:space="preserve"> </t>
    </r>
    <r>
      <rPr>
        <sz val="11"/>
        <color theme="1"/>
        <rFont val="Calibri Light"/>
        <family val="2"/>
      </rPr>
      <t>IL4R high subjects treated with MDNA55 (n = 21) had a median Overall Survival (mOS) of 15.8 months versus 6.2 months in the Synthetic Control Arm (SCA) (n = 17), a survival advantage of an impressive 9.6 months.</t>
    </r>
  </si>
  <si>
    <t>Complete Phase II results: Positive</t>
  </si>
  <si>
    <t>Recurrent or Progressive Glioblastoma</t>
  </si>
  <si>
    <t xml:space="preserve">Fast Track and Orphan Drug Status from the FDA as well as Orphan Drug Designation from the EMA for the treatment of rGBM </t>
  </si>
  <si>
    <t>Single infusion of MDNA55 via convection enhanced delivery (CED)</t>
  </si>
  <si>
    <t>Medicenna Therapeutics</t>
  </si>
  <si>
    <t>Targets Interleukin-4 Receptor (IL4R)</t>
  </si>
  <si>
    <t>Only Recurrent</t>
  </si>
  <si>
    <t>At both 12 and 15 months, the overall survival (OS) rate was 76% in patients with newly diagnosed glioblastoma who were treated with AV-GBM-1. The study is a single-arm trial, but AIVITA included data from a control cohort of individuals with newly diagnosed glioblastoma who received standard of care treatment (n = 287). In this patient population, OS was 61% at 12 months and 48% at 15 months with standard therapy.</t>
  </si>
  <si>
    <t>At the 2019 Society for Immunotherapy of Cancer (SITC) Annual Meeting, interim results demonstrated survival of 96% at 6 months and 91% at 12 months with AV-GBM-1. The majority of patients in the study also had an appropriate immune response, as well as a decrease in tumor biomarkers.</t>
  </si>
  <si>
    <t xml:space="preserve"> 18 Years to 70 Years   (Adult, Older Adult)</t>
  </si>
  <si>
    <t>Newly Diagnosed Glioblastoma</t>
  </si>
  <si>
    <t>Subcutaneous injection</t>
  </si>
  <si>
    <t>Aivita Biomedical</t>
  </si>
  <si>
    <t>Immunotherapy/ A vaccine consisting of autologous dendritic cells</t>
  </si>
  <si>
    <t>These results suggest that GDC-0084 at a 60mg dose shows a very encouraging survival profile in eight stage I evaluable patients with median progression-free survival (PFS) of 8.4 months
Published clinical studies indicate comparison values for PFS of 5.9 months and OS of 12.7 months in this patient population.</t>
  </si>
  <si>
    <t>The reported overall survival (OS) figure of 17.7 months represents a strong signal of clinical efficacy. The existing, FDA-approved standard of care, temozolomide, is associated with an OS of 12.7 months in this patient population[1]. Comparison between different studies is always imprecise, but the magnitude of the numerical difference provides powerful evidence that treatment with paxalisib may extend life in this patient group</t>
  </si>
  <si>
    <t xml:space="preserve"> 18 Years and older   (Adult, Older Adult)</t>
  </si>
  <si>
    <t>Newly-diagnosed Glioblastoma Multiforme</t>
  </si>
  <si>
    <t>Fast Track Designation, Rolling NDA</t>
  </si>
  <si>
    <t>Kazia Therapeutics</t>
  </si>
  <si>
    <t>PI3K Pathway Inhibitor</t>
  </si>
  <si>
    <t>Survival data is still preliminary, but the three patients who have lived the longest without disease progression were vaccine responders — a median of 14.5 weeks versus six weeks for non-responders.</t>
  </si>
  <si>
    <t>Presented part A data in June 2019 and part B in Nov 2019 ;  results are positive however survival data is preliminary</t>
  </si>
  <si>
    <t>18 Years to 70 Years   (Adult, Older Adult)</t>
  </si>
  <si>
    <t>Recurrent Glioblastoma</t>
  </si>
  <si>
    <t>Intradermal</t>
  </si>
  <si>
    <t>VBI Vaccines</t>
  </si>
  <si>
    <t>SEL demonstrated efficacy, with durable responses and disease stabilization in rGBM. Based on the favorable efficacy and safety profile, SEL at a dose of 80 mg QW is recommended for further development in rGBM</t>
  </si>
  <si>
    <t>Running 2 trials for GBM ; Phase II results for recurrent GBM</t>
  </si>
  <si>
    <t xml:space="preserve">18 Years and older
(Adult, Older Adult)
</t>
  </si>
  <si>
    <t>KaryoPharma</t>
  </si>
  <si>
    <t>Selective inhibitor of XPO1, reactivating tumor suppressing proteins and inducing tumor cell apoptosis</t>
  </si>
  <si>
    <t>A previous publication on the first cohort of the study had demonstrated that ONC201 is well-tolerated in adult recurrent glioblastoma patients with every three-week dosing and achieved an objective radiographic response in a patient harboring the H3 K27M mutation that remained durable for &gt;2.5 years</t>
  </si>
  <si>
    <t>Positive phase II interim results with no adverse events and promising safety and efficacy data</t>
  </si>
  <si>
    <t>16 Years and older   (Child, Adult, Older Adult)</t>
  </si>
  <si>
    <t>Recurrent Glioblastoma, H3 K27M-mutant Glioma, and Diffuse Midline Glioma</t>
  </si>
  <si>
    <t>FDA has awarded Fast-Track designation to ONC201 for the treatment of adults with this disease who have recurred.</t>
  </si>
  <si>
    <t>Oncoceutics</t>
  </si>
  <si>
    <t>Highly selective antagonist of dopamine receptor D2 (DRD2) and ClpP agonist</t>
  </si>
  <si>
    <t xml:space="preserve">Of the 22 patients who had completed at least one cycle of treatment as of that date, median progression-free survival (PFS) with VAL-083 as reported was 9.9 months (confidence interval, or CI, 7.3-12.0 months). For the 18 patients initially receiving the intended treatment dose (30 mg/m2/day on days 1, 2 and 3 of a 21-day cycle) median PFS as reported was 10.4 months (CI 6.0-12.0 months). While this is not a head-to-head trial, historically, temozolomide (TMZ) has been demonstrated to have 6.9 months PFS in unmethylated GBM patients.
</t>
  </si>
  <si>
    <t>Positive interim Phase II result</t>
  </si>
  <si>
    <t>18 Years to 69 Years   (Adult, Older Adult)</t>
  </si>
  <si>
    <t xml:space="preserve">First-Line Treatment in Newly-Diagnosed MGMT-Unmethylated Glioblastoma Multiforme; Recurrent GBM </t>
  </si>
  <si>
    <t>VAL-083 has been granted Orphan Drug Designations for the treatment of GBM from both the FDA and EMA. In addition, the FDA also granted a Fast Track Designations for VAL-083 in recurrent GBM</t>
  </si>
  <si>
    <t>DelMar Pharmaceuticals</t>
  </si>
  <si>
    <t>DNA-targeting agent</t>
  </si>
  <si>
    <t>Positive interim Phase II results; Collaboration with Merck for trial with Keytruda
A total of 48 patients with recurrent glioblastoma were treated at 15 participating clinical sites with the regimen of DNX-2401, followed by pembrolizumab. The majority of patients experienced clinical benefit following treatment, including durable complete and partial responses. Interim median overall survival for patients is currently 12.3 months. In addition, the interim safety analysis demonstrates that the therapy has a positive benefit-risk profile, there were no unanticipated adverse events and patients remained on pembrolizumab for a median of 5.5 months with a maximum of 34 cycles (CAPTIVE/KEYNOTE-192 Results, 2019).</t>
  </si>
  <si>
    <t>Recurrent GBM</t>
  </si>
  <si>
    <t>DNX-2401 has been granted PRIME and Orphan designation by the EMA and Fast Track and Orphan designation by the FDA (DNAtrix).</t>
  </si>
  <si>
    <t>Intratumoral</t>
  </si>
  <si>
    <t>DNAtrix</t>
  </si>
  <si>
    <t>Oncolytic Immunotherapy; Geneticall modified oncoolytic virus</t>
  </si>
  <si>
    <t>Twenty-four of 40 patients were alive at 12 months (Kaplan-Meier for OS12, 60.0% [90% CI: 46.1, 71.4]). Median OS was 15.1 (95% CI: 12.0, 18.4) months. As of 05 Nov 2018, 8 (20%) patients remain alive, with ongoing survival ranging from 15.7 to 34.9 months. Tumor immunocorrelative and systemic studies are pending. Conclusions: This is the first study report of anti-PD-L1 for new GBM. Durva was well tolerated when combined with RT and seemed to have efficacy among patients with new unmeth GBM. Further studies may be warranted.</t>
  </si>
  <si>
    <t>Newly diagnosed unmethylated MGMT and Recurrent GBM</t>
  </si>
  <si>
    <t>IV</t>
  </si>
  <si>
    <t>Astrazeneca</t>
  </si>
  <si>
    <t>PD-L1 Inhibitor</t>
  </si>
  <si>
    <t>Compare to Nivolumab</t>
  </si>
  <si>
    <t>The UCLA analysis compared data from VBL's Phase 2 study of VB-111, which met the primary endpoint of OS benefit with a median OS (mOS) of 414 days, to MRI data from the treatment arm in the GLOBE Phase 3 study, which had a mOS of 6.8 months, despite similar baseline tumor volume between patient cohorts. The goal of the analysis was to investigate the difference between the trial outcomes, using quantitative radiographic tools.</t>
  </si>
  <si>
    <t xml:space="preserve">Phase II results were better than Phase III Globe study. VB-111 “Primed Combination” had a Significant OS Advantage in rGBM.
We believe this work supports our view that VB-111 has therapeutic potential in rGBM and other difficult to treat and aggressive cancers. The VB-111 program in rGBM is now being advanced in an investigator-sponsored study at leading neuro-oncology centers in the U.S. VBL is also conducting a potential registration study of VB-111 in ovarian cancer, OVAL. </t>
  </si>
  <si>
    <t>Recurrent Glioblastoma</t>
  </si>
  <si>
    <t>Orphan Status for Glioblstoma</t>
  </si>
  <si>
    <t xml:space="preserve">VBL Therapeutics </t>
  </si>
  <si>
    <t>Gene transferance</t>
  </si>
  <si>
    <t>ASCO</t>
  </si>
  <si>
    <t>IV infusion once every two months</t>
  </si>
  <si>
    <t>In phase II testing of TSC in newly diagnosed inoperable GBM patients, a nearly 4-fold increase in 2-year survival was seen compared with historical controls. In addition, six of the seven patients who received the high dose TSC treatment are still alive, with a median survival at the present time of 14.3 months. This is compared with 9.2 months for the historical standard of patients with inoperable GBM</t>
  </si>
  <si>
    <t>Positive Results in 19 patients out of 22 patients</t>
  </si>
  <si>
    <t>Newly Diagnosed Glioblastoma;  Phase 3 Safety and Efficacy Study of Trans Sodium Crocetinate With Radiation Therapy and Temozolomide in Newly Diagnosed Glioblastoma (GBM) Biopsy-Only Subjects</t>
  </si>
  <si>
    <t xml:space="preserve">Orphan Designation </t>
  </si>
  <si>
    <t>Diffusion Pharmaceuticals</t>
  </si>
  <si>
    <t xml:space="preserve">Oxygen compound modulators </t>
  </si>
  <si>
    <t>1. Internal assumptions
2. Learnings from the various publications around the product</t>
  </si>
  <si>
    <r>
      <t xml:space="preserve">Median OS was 7.4m (95% CI 5.8–12.0) for REG and 5.6m (95% CI 4.7–7.3) for LOM (HR = 0.50, 80%CI 0.38–0.65; p = 0.0007; 1-sided Log-rank test); 12m-OS rates were 38.9% and 15.0% for REG and LOM. The 6m-PFS rates were 16.9% and 8.3% (HR = 0.65; 95% CI 0.45‐0.95; </t>
    </r>
    <r>
      <rPr>
        <i/>
        <sz val="11"/>
        <color theme="1"/>
        <rFont val="Calibri Light"/>
        <family val="2"/>
      </rPr>
      <t>p</t>
    </r>
    <r>
      <rPr>
        <sz val="11"/>
        <color theme="1"/>
        <rFont val="Calibri Light"/>
        <family val="2"/>
      </rPr>
      <t xml:space="preserve"> = 0.0223) for REG and LOM, DCR was 44.8% and 21.1% (</t>
    </r>
    <r>
      <rPr>
        <i/>
        <sz val="11"/>
        <color theme="1"/>
        <rFont val="Calibri Light"/>
        <family val="2"/>
      </rPr>
      <t>p</t>
    </r>
    <r>
      <rPr>
        <sz val="11"/>
        <color theme="1"/>
        <rFont val="Calibri Light"/>
        <family val="2"/>
      </rPr>
      <t xml:space="preserve"> = 0.009) for REG and LOM. Grade ≥3 adverse events were reported in 56% and 40% for REG and LOM, no treatment-related deaths were reported. 
In this multicenter, randomized study, REG significantly improved OS, PFS and DCR in recurrent GBM PTS. REG treatment was feasible and well tolerated. QoL and biomarker analyses are ongoing. A phase 3 study will be planned.</t>
    </r>
  </si>
  <si>
    <t xml:space="preserve">Regorafenib is already approved under the brand name Stivarga in more than 90 countries. The company has witnessed positive phase II REGOMA study results in June 2018 for patients with Relapsed GBM, however GBM AGILE Phase II/II will complete in Dec 2022. </t>
  </si>
  <si>
    <t>Newly diagnosed, Recurrent and Relapsed GBM</t>
  </si>
  <si>
    <t>Europe: Orphan Drug Designation</t>
  </si>
  <si>
    <t>Bayer</t>
  </si>
  <si>
    <t>Multi-kinase Inhibitor</t>
  </si>
  <si>
    <t>Results</t>
  </si>
  <si>
    <t>Remarks</t>
  </si>
  <si>
    <t>Type of Uptake</t>
  </si>
  <si>
    <t>Effective Peak Share</t>
  </si>
  <si>
    <t>Peak Share</t>
  </si>
  <si>
    <t>Peak Year</t>
  </si>
  <si>
    <t>Probability of Success (POS)</t>
  </si>
  <si>
    <t xml:space="preserve">Phase </t>
  </si>
  <si>
    <t>Launch year: Japan</t>
  </si>
  <si>
    <t>Launch year: EU5</t>
  </si>
  <si>
    <t>Launch year: US</t>
  </si>
  <si>
    <t>Age Group</t>
  </si>
  <si>
    <t>Patient segments</t>
  </si>
  <si>
    <t>Designation</t>
  </si>
  <si>
    <t>RoA</t>
  </si>
  <si>
    <t>Company</t>
  </si>
  <si>
    <t>MoA</t>
  </si>
  <si>
    <t>Promising emerging therapies</t>
  </si>
  <si>
    <t>Summary of key emerging therapies</t>
  </si>
  <si>
    <t>Bevacizumab plus radiotherapy and temozolomide chemotherapy</t>
  </si>
  <si>
    <r>
      <t xml:space="preserve">Surgery </t>
    </r>
    <r>
      <rPr>
        <sz val="11"/>
        <color theme="1"/>
        <rFont val="Calibri"/>
        <family val="2"/>
      </rPr>
      <t>±</t>
    </r>
    <r>
      <rPr>
        <i/>
        <sz val="11"/>
        <color theme="1"/>
        <rFont val="Calibri"/>
        <family val="2"/>
      </rPr>
      <t xml:space="preserve"> Radiation Therapy/ Chemotherapy</t>
    </r>
  </si>
  <si>
    <t>The Patient share on the current treatment for HGG has been evaluated considering analysis of several treatment or prescription pattern research papers of GBM, which contributes a major segment of High Grade Glioma.</t>
  </si>
  <si>
    <t>First line of treatment</t>
  </si>
  <si>
    <t>Patient share - Japan</t>
  </si>
  <si>
    <t>https://sci-hub.tw/10.1007/s11060-018-03065-z; https://academic.oup.com/neuro-oncology/article-abstract/21/Supplement_3/iii75/5564537?redirectedFrom=fulltext</t>
  </si>
  <si>
    <t>Patient share - EU5</t>
  </si>
  <si>
    <t xml:space="preserve">2.2%
</t>
  </si>
  <si>
    <t>Other combinations with bevacizumab</t>
  </si>
  <si>
    <t>Bevacizumab + carboplatin</t>
  </si>
  <si>
    <t>Bevacizumab + temozolomide + lomustine</t>
  </si>
  <si>
    <t>Bevacizumab + irinotecan</t>
  </si>
  <si>
    <t>Bevacizumab +TMZ</t>
  </si>
  <si>
    <t>https://www.jmcp.org/doi/pdf/10.18553/jmcp.2019.25.4.428 ; https://www.ncbi.nlm.nih.gov/pmc/articles/PMC4376093/</t>
  </si>
  <si>
    <t>Patient share - USA</t>
  </si>
  <si>
    <t>Market Access (%)</t>
  </si>
  <si>
    <t>Compliance (%)</t>
  </si>
  <si>
    <t>Treatment Rate (Third Line)</t>
  </si>
  <si>
    <t>Treatment Rate (Second Line)</t>
  </si>
  <si>
    <t>Only 31.5% of patients with GBM receive second-line therapy, and among those who receive first-line therapy, treatment duration remains short, indicating potential disease progression and mortality.</t>
  </si>
  <si>
    <t>chrome-extension://oemmndcbldboiebfnladdacbdfmadadm/https://www.jmcp.org/doi/pdf/10.18553/jmcp.2019.25.4.428</t>
  </si>
  <si>
    <t>Recurrence Rate</t>
  </si>
  <si>
    <t>Treatment Rate (First Line)</t>
  </si>
  <si>
    <t xml:space="preserve">Unmethylation of the MGMT gene promoter; Approximately 66% of GBM tumors are MGMT unmethylated (high expression of MGMT), which through a MGMT repair mechanism, confers resistance to temozolomide, the standard chemotherapy treatment of GBM.
Approximately two-thirds of all glioblastoma patients have an unmethylated MGMT promotor.
</t>
  </si>
  <si>
    <t>https://www.ncbi.nlm.nih.gov/pmc/articles/PMC3792931/</t>
  </si>
  <si>
    <t>Unmethylation of the MGMT gene promoter</t>
  </si>
  <si>
    <r>
      <rPr>
        <sz val="11"/>
        <color theme="1"/>
        <rFont val="Calibri"/>
        <family val="2"/>
      </rPr>
      <t>≥</t>
    </r>
    <r>
      <rPr>
        <sz val="8.9"/>
        <color theme="1"/>
        <rFont val="Calibri"/>
        <family val="2"/>
      </rPr>
      <t>65</t>
    </r>
  </si>
  <si>
    <t>40-64</t>
  </si>
  <si>
    <t>https://braintumor.org/brain-tumor-information/brain-tumor-facts/;
https://onlinelibrary.wiley.com/doi/pdf/10.1002/cam4.1757</t>
  </si>
  <si>
    <t>0-39</t>
  </si>
  <si>
    <t>US</t>
  </si>
  <si>
    <t>Age-specific Brain Tumor cases</t>
  </si>
  <si>
    <t>Female</t>
  </si>
  <si>
    <t>Gliomas are more frequent in males than in females</t>
  </si>
  <si>
    <t>https://www.hindawi.com/journals/bmri/2020/1346340/;
https://www.sciencedirect.com/science/article/pii/S2213538317300565;
https://academic.oup.com/view-large/88050878</t>
  </si>
  <si>
    <t>Male</t>
  </si>
  <si>
    <t>Gender-specific Brain Tumor cases</t>
  </si>
  <si>
    <t>H3K37 Mutation occurrence; Recurrent somatic mutations on histone H3 that result in a lysine to methionine substitution on position 27 (H3K27M) were identified in up to 30% of pediatric glioblastoma patients and 60% specifically in DIPG; There are several factors that contribute to the scarcity of data. First, DIPG is an orphan disease with a yearly incidence of 2.32 per 1,000,000 residents aged 0–20 years; Nearly 80% of DIPGs harbor H3K27M mutation, with the presence of mutation inversely correlated with reduced median OS</t>
  </si>
  <si>
    <t>; https://www.ncbi.nlm.nih.gov/pmc/articles/PMC6061380/; https://link.springer.com/article/10.1007/s00432-018-02836-5; https://www.ncbi.nlm.nih.gov/pmc/articles/PMC5525007/</t>
  </si>
  <si>
    <t>H3K27 Mutated HGG Cases</t>
  </si>
  <si>
    <t>Recurrent somatic mutations on histone H3 that result in a lysine to methionine substitution on position 27 (H3K27M) were identified in up to 30% of pediatric glioblastoma patients and 60% specifically in DIPG</t>
  </si>
  <si>
    <t xml:space="preserve"> https://www.ncbi.nlm.nih.gov/pmc/articles/PMC6061380/</t>
  </si>
  <si>
    <t>Incidence of H3K27 Mutation in High Grade Gliomas</t>
  </si>
  <si>
    <t>Others</t>
  </si>
  <si>
    <t xml:space="preserve"> https://www.cancer.dk/dyn/resources/File/file/1/7611/1543327070/epidemiology-of-glioma-2017-dnor.pdf;  https://www.ncbi.nlm.nih.gov/books/NBK470003/; https://www.aans.org/en/Patients/Neurosurgical-Conditions-and-Treatments/Glioblastoma-Multiforme</t>
  </si>
  <si>
    <t>Diffuse midline glioma (Earlier called as DIPG)</t>
  </si>
  <si>
    <t>Glioblastoma Multiforme (GBM)</t>
  </si>
  <si>
    <t>Oligodendrogliomas</t>
  </si>
  <si>
    <r>
      <t>The incidence of anaplastic astrocytoma (AA) is ∼0.48 per 100 000 person/years, making it much less common than glioblastoma multiforme (GBM).</t>
    </r>
    <r>
      <rPr>
        <sz val="10"/>
        <color rgb="FF000000"/>
        <rFont val="Times New Roman"/>
        <family val="1"/>
      </rPr>
      <t> Time trends appear to suggest that there is little change in the incidence of brain tumors over time when we look at gliomas as a group. However, glioblastomas represent 69% of all gliomas, so there is the potential for small changes in incidence of the less common tumor types to be masked if gliomas are analyzed as a group</t>
    </r>
  </si>
  <si>
    <t>https://www.ncbi.nlm.nih.gov/pmc/articles/PMC4165416/</t>
  </si>
  <si>
    <t>Anaplastic Astrocytoma</t>
  </si>
  <si>
    <t>Diffuse Astrocytoma</t>
  </si>
  <si>
    <t>Glioblastoma (WHO grade IV), the most common glioma in adults, accounts for 67% of all adult glioma diagnoses</t>
  </si>
  <si>
    <t>https://pubmed.ncbi.nlm.nih.gov/26948345/;
https://www.sciencedirect.com/science/article/abs/pii/S0959804911010380</t>
  </si>
  <si>
    <t xml:space="preserve">Pilocytic Astrocytoma </t>
  </si>
  <si>
    <t>Type-specific Incidence of Brain Tumors</t>
  </si>
  <si>
    <t>High Grade (III and IV)</t>
  </si>
  <si>
    <t>Low Grade (I and II)</t>
  </si>
  <si>
    <t>Low-grade gliomas constitute 15% of all adult brain tumors and cause significant neurological morbidity by brain invasion.</t>
  </si>
  <si>
    <t>https://journals.plos.org/plosmedicine/article?id=10.1371/journal.pmed.1002810</t>
  </si>
  <si>
    <t>Grade-specific Incidence of Brain Tumors</t>
  </si>
  <si>
    <t>Brain tumors account for 85% to 90% of all primary central nervous system (CNS) tumors.</t>
  </si>
  <si>
    <t>https://www.cancer.net/cancer-types/brain-tumor/statistics#:~:text=Brain%20tumors%20account%20for%2085,nervous%20system%20(CNS)%20tumors.</t>
  </si>
  <si>
    <t>Primary Brain Tumors</t>
  </si>
  <si>
    <t>Incidence of Brain Tumors</t>
  </si>
  <si>
    <t>Globocan 2018-2030 rate</t>
  </si>
  <si>
    <t>https://www.thelancet.com/journals/laneur/article/PIIS1474-4422(18)30468-X/fulltext</t>
  </si>
  <si>
    <t>CAGR (2018-30)</t>
  </si>
  <si>
    <t>Brain Tumor/ Central Nervous System (Globocan: All Ages)</t>
  </si>
  <si>
    <t>1. Data from different sources are analysed and triangulated to arrive on the country specific numbers and growth rates
2. For diagnosed cases of brain tumors/ CNS tumors,Globocan has been referred</t>
  </si>
  <si>
    <t>Country-wise Population</t>
  </si>
  <si>
    <t>Comments</t>
  </si>
  <si>
    <t>Source</t>
  </si>
  <si>
    <t>Growth rate</t>
  </si>
  <si>
    <t>Indicators Country Epidemiology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</si>
</sst>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quot;$&quot;#,##0"/>
    <numFmt numFmtId="166" formatCode="0.0%"/>
    <numFmt numFmtId="167" formatCode="&quot;$&quot;#,##0.00"/>
    <numFmt numFmtId="168" formatCode="_(&quot;$&quot;* #,##0.00_);_(&quot;$&quot;* \(#,##0.00\);_(&quot;$&quot;* &quot;-&quot;??_);_(@_)"/>
    <numFmt numFmtId="169" formatCode="0.000%"/>
    <numFmt numFmtId="170" formatCode="0.000000"/>
  </numFmts>
  <fonts count="33" x14ac:knownFonts="1">
    <font>
      <sz val="11"/>
      <color theme="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b/>
      <i/>
      <sz val="11"/>
      <color theme="1"/>
      <name val="Calibri"/>
      <family val="2"/>
      <scheme val="minor"/>
    </font>
    <font>
      <sz val="11"/>
      <color theme="0"/>
      <name val="Calibri"/>
      <family val="2"/>
      <scheme val="minor"/>
    </font>
    <font>
      <b/>
      <sz val="11"/>
      <color theme="0"/>
      <name val="Calibri"/>
      <family val="2"/>
      <scheme val="minor"/>
    </font>
    <font>
      <b/>
      <sz val="11"/>
      <color theme="1"/>
      <name val="Calibri"/>
      <family val="2"/>
      <scheme val="minor"/>
    </font>
    <font>
      <sz val="11"/>
      <color theme="1"/>
      <name val="Calibri"/>
      <family val="2"/>
    </font>
    <font>
      <i/>
      <sz val="11"/>
      <color theme="1"/>
      <name val="Calibri"/>
      <family val="2"/>
      <scheme val="minor"/>
    </font>
    <font>
      <sz val="8"/>
      <name val="Calibri Light"/>
      <family val="2"/>
    </font>
    <font>
      <b/>
      <sz val="8"/>
      <color rgb="FFFFFFFF"/>
      <name val="Calibri Light"/>
      <family val="2"/>
    </font>
    <font>
      <sz val="11"/>
      <color theme="9" tint="-0.249977111117893"/>
      <name val="Calibri"/>
      <family val="2"/>
      <scheme val="minor"/>
    </font>
    <font>
      <b/>
      <sz val="11"/>
      <color theme="1"/>
      <name val="Calibri Light"/>
      <family val="2"/>
    </font>
    <font>
      <sz val="11"/>
      <color theme="1"/>
      <name val="Calibri Light"/>
      <family val="2"/>
    </font>
    <font>
      <sz val="7"/>
      <color theme="1"/>
      <name val="Times New Roman"/>
      <family val="1"/>
    </font>
    <font>
      <sz val="11"/>
      <color theme="8" tint="-0.249977111117893"/>
      <name val="Calibri"/>
      <family val="2"/>
      <scheme val="minor"/>
    </font>
    <font>
      <i/>
      <sz val="11"/>
      <color theme="1"/>
      <name val="Calibri Light"/>
      <family val="2"/>
    </font>
    <font>
      <i/>
      <sz val="9"/>
      <color theme="1"/>
      <name val="Calibri"/>
      <family val="2"/>
      <scheme val="minor"/>
    </font>
    <font>
      <i/>
      <sz val="11"/>
      <color theme="1"/>
      <name val="Calibri"/>
      <family val="2"/>
    </font>
    <font>
      <b/>
      <sz val="11"/>
      <color rgb="FF000000"/>
      <name val="Calibri"/>
      <family val="2"/>
    </font>
    <font>
      <sz val="9"/>
      <color theme="1"/>
      <name val="Calibri"/>
      <family val="2"/>
      <scheme val="minor"/>
    </font>
    <font>
      <sz val="10"/>
      <color rgb="FF222222"/>
      <name val="Verdana"/>
      <family val="2"/>
    </font>
    <font>
      <b/>
      <i/>
      <sz val="11"/>
      <color theme="8" tint="-0.249977111117893"/>
      <name val="Calibri"/>
      <family val="2"/>
      <scheme val="minor"/>
    </font>
    <font>
      <sz val="8.9"/>
      <color theme="1"/>
      <name val="Calibri"/>
      <family val="2"/>
    </font>
    <font>
      <sz val="10"/>
      <color rgb="FF000000"/>
      <name val="Times New Roman"/>
      <family val="1"/>
    </font>
    <font>
      <i/>
      <sz val="11"/>
      <name val="Calibri"/>
      <family val="2"/>
      <scheme val="minor"/>
    </font>
    <font>
      <sz val="11"/>
      <name val="Calibri"/>
      <family val="2"/>
      <scheme val="minor"/>
    </font>
    <font>
      <sz val="11"/>
      <color theme="10"/>
      <name val="Calibri"/>
      <family val="2"/>
      <scheme val="minor"/>
    </font>
    <font>
      <b/>
      <sz val="9"/>
      <color indexed="81"/>
      <name val="Tahoma"/>
      <family val="2"/>
    </font>
    <font>
      <sz val="9"/>
      <color indexed="81"/>
      <name val="Tahoma"/>
      <family val="2"/>
    </font>
    <font>
      <b/>
      <sz val="9"/>
      <color rgb="FF000000"/>
      <name val="Tahoma"/>
      <family val="2"/>
    </font>
    <font>
      <sz val="9"/>
      <color rgb="FF000000"/>
      <name val="Tahoma"/>
      <family val="2"/>
    </font>
  </fonts>
  <fills count="19">
    <fill>
      <patternFill patternType="none"/>
    </fill>
    <fill>
      <patternFill patternType="gray125"/>
    </fill>
    <fill>
      <patternFill patternType="solid">
        <fgColor rgb="FF002060"/>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rgb="FF00B05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3" tint="0.79998168889431442"/>
        <bgColor indexed="64"/>
      </patternFill>
    </fill>
    <fill>
      <patternFill patternType="solid">
        <fgColor rgb="FF92D050"/>
        <bgColor indexed="64"/>
      </patternFill>
    </fill>
    <fill>
      <patternFill patternType="solid">
        <fgColor theme="8" tint="0.59999389629810485"/>
        <bgColor indexed="64"/>
      </patternFill>
    </fill>
    <fill>
      <patternFill patternType="solid">
        <fgColor theme="8" tint="-0.499984740745262"/>
        <bgColor indexed="64"/>
      </patternFill>
    </fill>
  </fills>
  <borders count="11">
    <border>
      <left/>
      <right/>
      <top/>
      <bottom/>
      <diagonal/>
    </border>
    <border>
      <left style="hair">
        <color indexed="64"/>
      </left>
      <right style="hair">
        <color indexed="64"/>
      </right>
      <top style="hair">
        <color indexed="64"/>
      </top>
      <bottom style="hair">
        <color indexed="64"/>
      </bottom>
      <diagonal/>
    </border>
    <border>
      <left style="hair">
        <color auto="1"/>
      </left>
      <right style="hair">
        <color auto="1"/>
      </right>
      <top/>
      <bottom style="hair">
        <color auto="1"/>
      </bottom>
      <diagonal/>
    </border>
    <border>
      <left/>
      <right style="hair">
        <color auto="1"/>
      </right>
      <top/>
      <bottom style="hair">
        <color auto="1"/>
      </bottom>
      <diagonal/>
    </border>
    <border>
      <left style="hair">
        <color indexed="64"/>
      </left>
      <right/>
      <top/>
      <bottom style="hair">
        <color auto="1"/>
      </bottom>
      <diagonal/>
    </border>
    <border>
      <left/>
      <right style="hair">
        <color auto="1"/>
      </right>
      <top/>
      <bottom/>
      <diagonal/>
    </border>
    <border>
      <left style="hair">
        <color indexed="64"/>
      </left>
      <right/>
      <top/>
      <bottom/>
      <diagonal/>
    </border>
    <border>
      <left style="hair">
        <color indexed="64"/>
      </left>
      <right style="hair">
        <color indexed="64"/>
      </right>
      <top/>
      <bottom/>
      <diagonal/>
    </border>
    <border>
      <left/>
      <right style="hair">
        <color auto="1"/>
      </right>
      <top style="hair">
        <color indexed="64"/>
      </top>
      <bottom/>
      <diagonal/>
    </border>
    <border>
      <left style="hair">
        <color indexed="64"/>
      </left>
      <right/>
      <top style="hair">
        <color indexed="64"/>
      </top>
      <bottom/>
      <diagonal/>
    </border>
    <border>
      <left style="hair">
        <color indexed="64"/>
      </left>
      <right style="hair">
        <color indexed="64"/>
      </right>
      <top style="hair">
        <color indexed="64"/>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168" fontId="1" fillId="0" borderId="0" applyFont="0" applyFill="0" applyBorder="0" applyAlignment="0" applyProtection="0"/>
  </cellStyleXfs>
  <cellXfs count="164">
    <xf numFmtId="0" fontId="0" fillId="0" borderId="0" xfId="0"/>
    <xf numFmtId="0" fontId="2" fillId="0" borderId="0" xfId="0" applyFont="1"/>
    <xf numFmtId="164" fontId="0" fillId="0" borderId="0" xfId="1" applyNumberFormat="1" applyFont="1"/>
    <xf numFmtId="9" fontId="0" fillId="0" borderId="0" xfId="0" applyNumberFormat="1"/>
    <xf numFmtId="165" fontId="0" fillId="0" borderId="0" xfId="0" applyNumberFormat="1"/>
    <xf numFmtId="3" fontId="0" fillId="0" borderId="0" xfId="0" applyNumberFormat="1"/>
    <xf numFmtId="16" fontId="0" fillId="0" borderId="0" xfId="0" applyNumberFormat="1"/>
    <xf numFmtId="0" fontId="3" fillId="0" borderId="0" xfId="3" applyBorder="1"/>
    <xf numFmtId="0" fontId="4" fillId="0" borderId="0" xfId="0" applyFont="1"/>
    <xf numFmtId="166" fontId="0" fillId="0" borderId="1" xfId="1" applyNumberFormat="1" applyFont="1" applyFill="1" applyBorder="1" applyAlignment="1">
      <alignment horizontal="center" vertical="center" wrapText="1"/>
    </xf>
    <xf numFmtId="9" fontId="0" fillId="0" borderId="1" xfId="0" applyNumberFormat="1" applyBorder="1"/>
    <xf numFmtId="0" fontId="4" fillId="0" borderId="1" xfId="0" applyFont="1" applyBorder="1" applyAlignment="1">
      <alignment horizontal="right"/>
    </xf>
    <xf numFmtId="0" fontId="5" fillId="0" borderId="0" xfId="0" applyFont="1"/>
    <xf numFmtId="167" fontId="6" fillId="2" borderId="1" xfId="0" applyNumberFormat="1" applyFont="1" applyFill="1" applyBorder="1"/>
    <xf numFmtId="167" fontId="6" fillId="2" borderId="2" xfId="0" applyNumberFormat="1" applyFont="1" applyFill="1" applyBorder="1"/>
    <xf numFmtId="0" fontId="7" fillId="0" borderId="0" xfId="0" applyFont="1"/>
    <xf numFmtId="165" fontId="0" fillId="0" borderId="1" xfId="0" applyNumberFormat="1" applyBorder="1"/>
    <xf numFmtId="0" fontId="0" fillId="0" borderId="1" xfId="0" applyBorder="1"/>
    <xf numFmtId="165" fontId="0" fillId="3" borderId="1" xfId="0" applyNumberFormat="1" applyFill="1" applyBorder="1"/>
    <xf numFmtId="0" fontId="0" fillId="4" borderId="1" xfId="0" applyFill="1" applyBorder="1"/>
    <xf numFmtId="166" fontId="0" fillId="0" borderId="1" xfId="1" applyNumberFormat="1" applyFont="1" applyFill="1" applyBorder="1" applyAlignment="1">
      <alignment horizontal="left" vertical="center" wrapText="1"/>
    </xf>
    <xf numFmtId="164" fontId="0" fillId="0" borderId="1" xfId="1" applyNumberFormat="1" applyFont="1" applyBorder="1"/>
    <xf numFmtId="0" fontId="9" fillId="0" borderId="1" xfId="0" applyFont="1" applyBorder="1" applyAlignment="1">
      <alignment horizontal="left"/>
    </xf>
    <xf numFmtId="0" fontId="3" fillId="0" borderId="0" xfId="3"/>
    <xf numFmtId="0" fontId="7" fillId="5" borderId="1" xfId="0" applyFont="1" applyFill="1" applyBorder="1"/>
    <xf numFmtId="0" fontId="9" fillId="0" borderId="1" xfId="0" applyFont="1" applyBorder="1" applyAlignment="1">
      <alignment horizontal="left" vertical="top"/>
    </xf>
    <xf numFmtId="43" fontId="0" fillId="0" borderId="1" xfId="1" applyFont="1" applyBorder="1"/>
    <xf numFmtId="166" fontId="0" fillId="0" borderId="0" xfId="2" applyNumberFormat="1" applyFont="1" applyFill="1" applyBorder="1"/>
    <xf numFmtId="166" fontId="0" fillId="6" borderId="0" xfId="2" applyNumberFormat="1" applyFont="1" applyFill="1" applyBorder="1"/>
    <xf numFmtId="0" fontId="0" fillId="6" borderId="0" xfId="0" applyFill="1"/>
    <xf numFmtId="168" fontId="0" fillId="6" borderId="0" xfId="4" applyFont="1" applyFill="1" applyBorder="1"/>
    <xf numFmtId="0" fontId="10" fillId="0" borderId="0" xfId="0" applyFont="1" applyAlignment="1">
      <alignment horizontal="left" vertical="center"/>
    </xf>
    <xf numFmtId="166" fontId="0" fillId="0" borderId="3" xfId="1" applyNumberFormat="1" applyFont="1" applyFill="1" applyBorder="1" applyAlignment="1">
      <alignment horizontal="left" wrapText="1"/>
    </xf>
    <xf numFmtId="166" fontId="0" fillId="0" borderId="4" xfId="1" applyNumberFormat="1" applyFont="1" applyFill="1" applyBorder="1" applyAlignment="1">
      <alignment horizontal="left" wrapText="1"/>
    </xf>
    <xf numFmtId="10" fontId="0" fillId="7" borderId="1" xfId="2" applyNumberFormat="1" applyFont="1" applyFill="1" applyBorder="1" applyAlignment="1">
      <alignment horizontal="center"/>
    </xf>
    <xf numFmtId="49" fontId="0" fillId="0" borderId="1" xfId="0" applyNumberFormat="1" applyBorder="1" applyAlignment="1">
      <alignment horizontal="left" indent="1"/>
    </xf>
    <xf numFmtId="166" fontId="0" fillId="0" borderId="5" xfId="1" applyNumberFormat="1" applyFont="1" applyFill="1" applyBorder="1" applyAlignment="1">
      <alignment horizontal="left" wrapText="1"/>
    </xf>
    <xf numFmtId="166" fontId="0" fillId="0" borderId="6" xfId="1" applyNumberFormat="1" applyFont="1" applyFill="1" applyBorder="1" applyAlignment="1">
      <alignment horizontal="left" wrapText="1"/>
    </xf>
    <xf numFmtId="166" fontId="0" fillId="8" borderId="1" xfId="2" applyNumberFormat="1" applyFont="1" applyFill="1" applyBorder="1"/>
    <xf numFmtId="0" fontId="0" fillId="9" borderId="1" xfId="0" applyFill="1" applyBorder="1"/>
    <xf numFmtId="0" fontId="0" fillId="10" borderId="1" xfId="0" applyFill="1" applyBorder="1"/>
    <xf numFmtId="0" fontId="11" fillId="11" borderId="1" xfId="0" applyFont="1" applyFill="1" applyBorder="1" applyAlignment="1">
      <alignment horizontal="left" vertical="center" wrapText="1"/>
    </xf>
    <xf numFmtId="0" fontId="0" fillId="6" borderId="0" xfId="0" applyFill="1" applyAlignment="1">
      <alignment horizontal="left" vertical="center"/>
    </xf>
    <xf numFmtId="0" fontId="0" fillId="0" borderId="7" xfId="0" applyBorder="1"/>
    <xf numFmtId="166" fontId="0" fillId="6" borderId="1" xfId="2" applyNumberFormat="1" applyFont="1" applyFill="1" applyBorder="1"/>
    <xf numFmtId="9" fontId="0" fillId="6" borderId="1" xfId="2" applyFont="1" applyFill="1" applyBorder="1"/>
    <xf numFmtId="166" fontId="0" fillId="0" borderId="1" xfId="2" applyNumberFormat="1" applyFont="1" applyFill="1" applyBorder="1"/>
    <xf numFmtId="1" fontId="0" fillId="0" borderId="1" xfId="0" applyNumberFormat="1" applyBorder="1" applyAlignment="1">
      <alignment horizontal="right"/>
    </xf>
    <xf numFmtId="1" fontId="0" fillId="0" borderId="1" xfId="2" applyNumberFormat="1" applyFont="1" applyFill="1" applyBorder="1"/>
    <xf numFmtId="1" fontId="0" fillId="0" borderId="1" xfId="0" applyNumberFormat="1" applyBorder="1" applyAlignment="1">
      <alignment horizontal="left" vertical="top"/>
    </xf>
    <xf numFmtId="0" fontId="0" fillId="6" borderId="1" xfId="0" applyFill="1" applyBorder="1"/>
    <xf numFmtId="0" fontId="0" fillId="6" borderId="1" xfId="0" applyFill="1" applyBorder="1" applyAlignment="1">
      <alignment horizontal="left" vertical="center"/>
    </xf>
    <xf numFmtId="168" fontId="0" fillId="6" borderId="1" xfId="4" applyFont="1" applyFill="1" applyBorder="1"/>
    <xf numFmtId="0" fontId="0" fillId="0" borderId="1" xfId="0" applyBorder="1" applyAlignment="1">
      <alignment wrapText="1"/>
    </xf>
    <xf numFmtId="1" fontId="0" fillId="6" borderId="1" xfId="2" applyNumberFormat="1" applyFont="1" applyFill="1" applyBorder="1"/>
    <xf numFmtId="166" fontId="0" fillId="3" borderId="1" xfId="2" applyNumberFormat="1" applyFont="1" applyFill="1" applyBorder="1"/>
    <xf numFmtId="1" fontId="0" fillId="3" borderId="1" xfId="2" applyNumberFormat="1" applyFont="1" applyFill="1" applyBorder="1"/>
    <xf numFmtId="9" fontId="0" fillId="3" borderId="1" xfId="2" applyFont="1" applyFill="1" applyBorder="1"/>
    <xf numFmtId="1" fontId="0" fillId="3" borderId="1" xfId="1" applyNumberFormat="1" applyFont="1" applyFill="1" applyBorder="1"/>
    <xf numFmtId="166" fontId="0" fillId="12" borderId="1" xfId="2" applyNumberFormat="1" applyFont="1" applyFill="1" applyBorder="1" applyAlignment="1">
      <alignment wrapText="1"/>
    </xf>
    <xf numFmtId="169" fontId="0" fillId="6" borderId="1" xfId="2" applyNumberFormat="1" applyFont="1" applyFill="1" applyBorder="1"/>
    <xf numFmtId="166" fontId="12" fillId="6" borderId="1" xfId="2" applyNumberFormat="1" applyFont="1" applyFill="1" applyBorder="1"/>
    <xf numFmtId="168" fontId="0" fillId="13" borderId="1" xfId="4" applyFont="1" applyFill="1" applyBorder="1" applyAlignment="1">
      <alignment horizontal="left" vertical="center"/>
    </xf>
    <xf numFmtId="168" fontId="0" fillId="6" borderId="1" xfId="4" applyFont="1" applyFill="1" applyBorder="1" applyAlignment="1">
      <alignment horizontal="left" vertical="center"/>
    </xf>
    <xf numFmtId="164" fontId="0" fillId="6" borderId="1" xfId="1" applyNumberFormat="1" applyFont="1" applyFill="1" applyBorder="1"/>
    <xf numFmtId="0" fontId="0" fillId="0" borderId="1" xfId="0" applyBorder="1" applyAlignment="1">
      <alignment horizontal="right"/>
    </xf>
    <xf numFmtId="166" fontId="0" fillId="0" borderId="1" xfId="2" applyNumberFormat="1" applyFont="1" applyBorder="1"/>
    <xf numFmtId="0" fontId="12" fillId="0" borderId="1" xfId="0" applyFont="1" applyBorder="1"/>
    <xf numFmtId="10" fontId="0" fillId="0" borderId="1" xfId="0" applyNumberFormat="1" applyBorder="1"/>
    <xf numFmtId="0" fontId="1" fillId="0" borderId="1" xfId="0" applyFont="1" applyBorder="1" applyAlignment="1">
      <alignment horizontal="left" vertical="center"/>
    </xf>
    <xf numFmtId="0" fontId="0" fillId="0" borderId="0" xfId="1" applyNumberFormat="1" applyFont="1" applyFill="1" applyBorder="1" applyAlignment="1">
      <alignment horizontal="left"/>
    </xf>
    <xf numFmtId="0" fontId="0" fillId="0" borderId="0" xfId="1" applyNumberFormat="1" applyFont="1" applyFill="1" applyBorder="1" applyAlignment="1">
      <alignment horizontal="center"/>
    </xf>
    <xf numFmtId="1" fontId="0" fillId="7" borderId="1" xfId="0" applyNumberFormat="1" applyFill="1" applyBorder="1" applyAlignment="1">
      <alignment horizontal="right"/>
    </xf>
    <xf numFmtId="0" fontId="0" fillId="0" borderId="1" xfId="0" applyBorder="1" applyAlignment="1">
      <alignment horizontal="left" vertical="center"/>
    </xf>
    <xf numFmtId="10" fontId="0" fillId="0" borderId="1" xfId="2" applyNumberFormat="1" applyFont="1" applyBorder="1"/>
    <xf numFmtId="0" fontId="0" fillId="13" borderId="1" xfId="0" applyFill="1" applyBorder="1" applyAlignment="1">
      <alignment horizontal="left" vertical="center"/>
    </xf>
    <xf numFmtId="0" fontId="0" fillId="0" borderId="1" xfId="1" applyNumberFormat="1" applyFont="1" applyFill="1" applyBorder="1" applyAlignment="1">
      <alignment horizontal="left"/>
    </xf>
    <xf numFmtId="0" fontId="0" fillId="0" borderId="1" xfId="1" applyNumberFormat="1" applyFont="1" applyFill="1" applyBorder="1" applyAlignment="1">
      <alignment horizontal="center"/>
    </xf>
    <xf numFmtId="0" fontId="16" fillId="0" borderId="1" xfId="0" applyFont="1" applyBorder="1"/>
    <xf numFmtId="0" fontId="0" fillId="0" borderId="3" xfId="1" applyNumberFormat="1" applyFont="1" applyFill="1" applyBorder="1" applyAlignment="1">
      <alignment horizontal="left" vertical="center" wrapText="1"/>
    </xf>
    <xf numFmtId="0" fontId="0" fillId="0" borderId="4" xfId="1" applyNumberFormat="1" applyFont="1" applyFill="1" applyBorder="1" applyAlignment="1">
      <alignment horizontal="left" vertical="center" wrapText="1"/>
    </xf>
    <xf numFmtId="17" fontId="0" fillId="0" borderId="1" xfId="0" applyNumberFormat="1" applyBorder="1"/>
    <xf numFmtId="17" fontId="12" fillId="0" borderId="1" xfId="0" applyNumberFormat="1" applyFont="1" applyBorder="1"/>
    <xf numFmtId="1" fontId="0" fillId="0" borderId="1" xfId="0" applyNumberFormat="1" applyBorder="1"/>
    <xf numFmtId="0" fontId="0" fillId="0" borderId="5" xfId="1" applyNumberFormat="1" applyFont="1" applyFill="1" applyBorder="1" applyAlignment="1">
      <alignment horizontal="left" vertical="center" wrapText="1"/>
    </xf>
    <xf numFmtId="0" fontId="0" fillId="0" borderId="6" xfId="1" applyNumberFormat="1" applyFont="1" applyFill="1" applyBorder="1" applyAlignment="1">
      <alignment horizontal="left" vertical="center" wrapText="1"/>
    </xf>
    <xf numFmtId="1" fontId="12" fillId="0" borderId="1" xfId="0" applyNumberFormat="1" applyFont="1" applyBorder="1"/>
    <xf numFmtId="0" fontId="0" fillId="0" borderId="5" xfId="0" applyBorder="1"/>
    <xf numFmtId="166" fontId="0" fillId="0" borderId="1" xfId="0" applyNumberFormat="1" applyBorder="1"/>
    <xf numFmtId="9" fontId="0" fillId="0" borderId="1" xfId="2" applyFont="1" applyBorder="1"/>
    <xf numFmtId="9" fontId="0" fillId="14" borderId="1" xfId="0" applyNumberFormat="1" applyFill="1" applyBorder="1"/>
    <xf numFmtId="0" fontId="0" fillId="0" borderId="8" xfId="1" applyNumberFormat="1" applyFont="1" applyFill="1" applyBorder="1" applyAlignment="1">
      <alignment horizontal="left" vertical="center" wrapText="1"/>
    </xf>
    <xf numFmtId="0" fontId="0" fillId="0" borderId="9" xfId="1" applyNumberFormat="1" applyFont="1" applyFill="1" applyBorder="1" applyAlignment="1">
      <alignment horizontal="left" vertical="center" wrapText="1"/>
    </xf>
    <xf numFmtId="1" fontId="0" fillId="0" borderId="1" xfId="0" applyNumberFormat="1" applyBorder="1" applyAlignment="1">
      <alignment horizontal="left" vertical="top" wrapText="1"/>
    </xf>
    <xf numFmtId="0" fontId="11" fillId="0" borderId="1" xfId="0" applyFont="1" applyBorder="1" applyAlignment="1">
      <alignment horizontal="left" vertical="top" wrapText="1"/>
    </xf>
    <xf numFmtId="0" fontId="11" fillId="11" borderId="1" xfId="0" applyFont="1" applyFill="1" applyBorder="1" applyAlignment="1">
      <alignment horizontal="left" vertical="top" wrapText="1"/>
    </xf>
    <xf numFmtId="0" fontId="14" fillId="0" borderId="0" xfId="0" applyFont="1" applyAlignment="1">
      <alignment horizontal="justify" vertical="center" wrapText="1"/>
    </xf>
    <xf numFmtId="0" fontId="7" fillId="4" borderId="0" xfId="0" applyFont="1" applyFill="1"/>
    <xf numFmtId="166" fontId="0" fillId="7" borderId="1" xfId="0" applyNumberFormat="1" applyFill="1" applyBorder="1" applyAlignment="1">
      <alignment horizontal="center"/>
    </xf>
    <xf numFmtId="0" fontId="18" fillId="0" borderId="1" xfId="0" applyFont="1" applyBorder="1" applyAlignment="1">
      <alignment horizontal="left"/>
    </xf>
    <xf numFmtId="166" fontId="7" fillId="7" borderId="1" xfId="0" applyNumberFormat="1" applyFont="1" applyFill="1" applyBorder="1" applyAlignment="1">
      <alignment horizontal="center"/>
    </xf>
    <xf numFmtId="166" fontId="7" fillId="15" borderId="1" xfId="0" applyNumberFormat="1" applyFont="1" applyFill="1" applyBorder="1" applyAlignment="1">
      <alignment horizontal="center"/>
    </xf>
    <xf numFmtId="0" fontId="20" fillId="10" borderId="1" xfId="0" applyFont="1" applyFill="1" applyBorder="1"/>
    <xf numFmtId="0" fontId="7" fillId="16" borderId="1" xfId="0" applyFont="1" applyFill="1" applyBorder="1"/>
    <xf numFmtId="0" fontId="6" fillId="0" borderId="0" xfId="0" applyFont="1"/>
    <xf numFmtId="166" fontId="0" fillId="0" borderId="0" xfId="1" applyNumberFormat="1" applyFont="1" applyFill="1" applyBorder="1" applyAlignment="1">
      <alignment horizontal="left" vertical="center" wrapText="1"/>
    </xf>
    <xf numFmtId="166" fontId="0" fillId="7" borderId="0" xfId="0" applyNumberFormat="1" applyFill="1" applyAlignment="1">
      <alignment horizontal="center"/>
    </xf>
    <xf numFmtId="166" fontId="3" fillId="0" borderId="1" xfId="3" applyNumberFormat="1" applyFill="1" applyBorder="1" applyAlignment="1">
      <alignment horizontal="left" vertical="center" wrapText="1"/>
    </xf>
    <xf numFmtId="166" fontId="21" fillId="7" borderId="1" xfId="0" applyNumberFormat="1" applyFont="1" applyFill="1" applyBorder="1" applyAlignment="1">
      <alignment horizontal="center"/>
    </xf>
    <xf numFmtId="166" fontId="7" fillId="17" borderId="1" xfId="0" applyNumberFormat="1" applyFont="1" applyFill="1" applyBorder="1" applyAlignment="1">
      <alignment horizontal="center"/>
    </xf>
    <xf numFmtId="166" fontId="0" fillId="7" borderId="1" xfId="2" applyNumberFormat="1" applyFont="1" applyFill="1" applyBorder="1" applyAlignment="1">
      <alignment horizontal="center"/>
    </xf>
    <xf numFmtId="49" fontId="5" fillId="0" borderId="0" xfId="0" applyNumberFormat="1" applyFont="1"/>
    <xf numFmtId="164" fontId="0" fillId="0" borderId="0" xfId="0" applyNumberFormat="1"/>
    <xf numFmtId="0" fontId="0" fillId="0" borderId="1" xfId="0" applyBorder="1" applyAlignment="1">
      <alignment horizontal="center" wrapText="1"/>
    </xf>
    <xf numFmtId="166" fontId="0" fillId="17" borderId="1" xfId="1" applyNumberFormat="1" applyFont="1" applyFill="1" applyBorder="1" applyAlignment="1">
      <alignment horizontal="center"/>
    </xf>
    <xf numFmtId="169" fontId="0" fillId="0" borderId="0" xfId="0" applyNumberFormat="1"/>
    <xf numFmtId="0" fontId="7" fillId="0" borderId="1" xfId="0" applyFont="1" applyBorder="1"/>
    <xf numFmtId="0" fontId="3" fillId="0" borderId="1" xfId="3" applyBorder="1"/>
    <xf numFmtId="49" fontId="9" fillId="0" borderId="1" xfId="0" applyNumberFormat="1" applyFont="1" applyBorder="1" applyAlignment="1">
      <alignment horizontal="left" indent="1"/>
    </xf>
    <xf numFmtId="166" fontId="0" fillId="0" borderId="0" xfId="1" applyNumberFormat="1" applyFont="1" applyFill="1" applyBorder="1" applyAlignment="1">
      <alignment horizontal="left"/>
    </xf>
    <xf numFmtId="166" fontId="0" fillId="0" borderId="10" xfId="1" applyNumberFormat="1" applyFont="1" applyFill="1" applyBorder="1" applyAlignment="1">
      <alignment horizontal="center"/>
    </xf>
    <xf numFmtId="166" fontId="3" fillId="0" borderId="10" xfId="3" applyNumberFormat="1" applyFill="1" applyBorder="1" applyAlignment="1">
      <alignment horizontal="left"/>
    </xf>
    <xf numFmtId="0" fontId="22" fillId="0" borderId="0" xfId="0" applyFont="1"/>
    <xf numFmtId="166" fontId="0" fillId="7" borderId="1" xfId="2" applyNumberFormat="1" applyFont="1" applyFill="1" applyBorder="1" applyAlignment="1">
      <alignment horizontal="center" wrapText="1"/>
    </xf>
    <xf numFmtId="0" fontId="23" fillId="0" borderId="1" xfId="0" applyFont="1" applyBorder="1"/>
    <xf numFmtId="166" fontId="0" fillId="0" borderId="0" xfId="1" applyNumberFormat="1" applyFont="1" applyFill="1" applyBorder="1" applyAlignment="1">
      <alignment horizontal="center" vertical="center" wrapText="1"/>
    </xf>
    <xf numFmtId="166" fontId="0" fillId="0" borderId="0" xfId="1" applyNumberFormat="1" applyFont="1" applyFill="1" applyBorder="1" applyAlignment="1">
      <alignment horizontal="center"/>
    </xf>
    <xf numFmtId="166" fontId="0" fillId="0" borderId="0" xfId="2" applyNumberFormat="1" applyFont="1" applyFill="1" applyBorder="1" applyAlignment="1">
      <alignment horizontal="center"/>
    </xf>
    <xf numFmtId="49" fontId="0" fillId="0" borderId="0" xfId="0" applyNumberFormat="1" applyAlignment="1">
      <alignment horizontal="left" indent="1"/>
    </xf>
    <xf numFmtId="10" fontId="0" fillId="0" borderId="0" xfId="2" applyNumberFormat="1" applyFont="1"/>
    <xf numFmtId="43" fontId="5" fillId="0" borderId="0" xfId="0" applyNumberFormat="1" applyFont="1"/>
    <xf numFmtId="43" fontId="0" fillId="0" borderId="0" xfId="0" applyNumberFormat="1"/>
    <xf numFmtId="0" fontId="5" fillId="18" borderId="1" xfId="0" applyFont="1" applyFill="1" applyBorder="1"/>
    <xf numFmtId="166" fontId="0" fillId="0" borderId="0" xfId="1" applyNumberFormat="1" applyFont="1" applyFill="1" applyBorder="1" applyAlignment="1">
      <alignment horizontal="left" wrapText="1"/>
    </xf>
    <xf numFmtId="166" fontId="0" fillId="0" borderId="1" xfId="1" applyNumberFormat="1" applyFont="1" applyFill="1" applyBorder="1" applyAlignment="1">
      <alignment horizontal="left"/>
    </xf>
    <xf numFmtId="166" fontId="3" fillId="0" borderId="1" xfId="3" applyNumberFormat="1" applyFill="1" applyBorder="1" applyAlignment="1">
      <alignment horizontal="left"/>
    </xf>
    <xf numFmtId="43" fontId="0" fillId="0" borderId="0" xfId="0" applyNumberFormat="1" applyAlignment="1">
      <alignment wrapText="1"/>
    </xf>
    <xf numFmtId="1" fontId="0" fillId="0" borderId="0" xfId="0" applyNumberFormat="1"/>
    <xf numFmtId="166" fontId="0" fillId="0" borderId="2" xfId="1" applyNumberFormat="1" applyFont="1" applyFill="1" applyBorder="1" applyAlignment="1">
      <alignment horizontal="center" vertical="center" wrapText="1"/>
    </xf>
    <xf numFmtId="166" fontId="0" fillId="0" borderId="2" xfId="1" applyNumberFormat="1" applyFont="1" applyFill="1" applyBorder="1" applyAlignment="1">
      <alignment horizontal="left"/>
    </xf>
    <xf numFmtId="166" fontId="0" fillId="0" borderId="0" xfId="0" applyNumberFormat="1"/>
    <xf numFmtId="166" fontId="0" fillId="0" borderId="10" xfId="1" applyNumberFormat="1" applyFont="1" applyFill="1" applyBorder="1" applyAlignment="1">
      <alignment horizontal="center" vertical="center" wrapText="1"/>
    </xf>
    <xf numFmtId="166" fontId="0" fillId="0" borderId="10" xfId="1" applyNumberFormat="1" applyFont="1" applyFill="1" applyBorder="1" applyAlignment="1">
      <alignment horizontal="left" wrapText="1"/>
    </xf>
    <xf numFmtId="166" fontId="0" fillId="0" borderId="0" xfId="1" applyNumberFormat="1" applyFont="1" applyFill="1" applyBorder="1" applyAlignment="1">
      <alignment horizontal="center" wrapText="1"/>
    </xf>
    <xf numFmtId="49" fontId="0" fillId="6" borderId="1" xfId="0" applyNumberFormat="1" applyFill="1" applyBorder="1" applyAlignment="1">
      <alignment horizontal="left" indent="1"/>
    </xf>
    <xf numFmtId="166" fontId="0" fillId="0" borderId="1" xfId="1" applyNumberFormat="1" applyFont="1" applyFill="1" applyBorder="1" applyAlignment="1">
      <alignment horizontal="center" wrapText="1"/>
    </xf>
    <xf numFmtId="0" fontId="3" fillId="0" borderId="1" xfId="3" applyBorder="1" applyAlignment="1">
      <alignment wrapText="1"/>
    </xf>
    <xf numFmtId="0" fontId="0" fillId="0" borderId="0" xfId="0" applyAlignment="1">
      <alignment wrapText="1"/>
    </xf>
    <xf numFmtId="10" fontId="0" fillId="0" borderId="0" xfId="0" applyNumberFormat="1"/>
    <xf numFmtId="0" fontId="26" fillId="0" borderId="0" xfId="0" applyFont="1" applyAlignment="1">
      <alignment horizontal="right"/>
    </xf>
    <xf numFmtId="43" fontId="26" fillId="0" borderId="0" xfId="0" applyNumberFormat="1" applyFont="1" applyAlignment="1">
      <alignment horizontal="right"/>
    </xf>
    <xf numFmtId="164" fontId="0" fillId="7" borderId="1" xfId="1" applyNumberFormat="1" applyFont="1" applyFill="1" applyBorder="1" applyAlignment="1">
      <alignment horizontal="center"/>
    </xf>
    <xf numFmtId="0" fontId="26" fillId="0" borderId="1" xfId="0" applyFont="1" applyBorder="1" applyAlignment="1">
      <alignment horizontal="right"/>
    </xf>
    <xf numFmtId="164" fontId="27" fillId="0" borderId="2" xfId="3" applyNumberFormat="1" applyFont="1" applyFill="1" applyBorder="1" applyAlignment="1">
      <alignment horizontal="left" vertical="center" wrapText="1"/>
    </xf>
    <xf numFmtId="0" fontId="28" fillId="0" borderId="2" xfId="3" applyNumberFormat="1" applyFont="1" applyFill="1" applyBorder="1" applyAlignment="1">
      <alignment horizontal="left" vertical="center" wrapText="1"/>
    </xf>
    <xf numFmtId="164" fontId="0" fillId="0" borderId="0" xfId="1" applyNumberFormat="1" applyFont="1" applyFill="1" applyBorder="1" applyAlignment="1">
      <alignment horizontal="center"/>
    </xf>
    <xf numFmtId="164" fontId="27" fillId="0" borderId="7" xfId="3" applyNumberFormat="1" applyFont="1" applyFill="1" applyBorder="1" applyAlignment="1">
      <alignment horizontal="left" vertical="center" wrapText="1"/>
    </xf>
    <xf numFmtId="0" fontId="28" fillId="0" borderId="7" xfId="3" applyNumberFormat="1" applyFont="1" applyFill="1" applyBorder="1" applyAlignment="1">
      <alignment horizontal="left" vertical="center" wrapText="1"/>
    </xf>
    <xf numFmtId="164" fontId="27" fillId="0" borderId="10" xfId="3" applyNumberFormat="1" applyFont="1" applyFill="1" applyBorder="1" applyAlignment="1">
      <alignment horizontal="left" vertical="center" wrapText="1"/>
    </xf>
    <xf numFmtId="0" fontId="28" fillId="0" borderId="10" xfId="3" applyNumberFormat="1" applyFont="1" applyFill="1" applyBorder="1" applyAlignment="1">
      <alignment horizontal="left" vertical="center" wrapText="1"/>
    </xf>
    <xf numFmtId="164" fontId="0" fillId="0" borderId="1" xfId="1" applyNumberFormat="1" applyFont="1" applyFill="1" applyBorder="1" applyAlignment="1">
      <alignment horizontal="center"/>
    </xf>
    <xf numFmtId="43" fontId="0" fillId="0" borderId="1" xfId="1" applyFont="1" applyFill="1" applyBorder="1" applyAlignment="1">
      <alignment horizontal="center"/>
    </xf>
    <xf numFmtId="10" fontId="0" fillId="0" borderId="0" xfId="2" applyNumberFormat="1" applyFont="1" applyBorder="1"/>
    <xf numFmtId="170" fontId="0" fillId="0" borderId="0" xfId="2" applyNumberFormat="1" applyFont="1" applyBorder="1"/>
  </cellXfs>
  <cellStyles count="5">
    <cellStyle name="Comma" xfId="1" builtinId="3"/>
    <cellStyle name="Currency 2" xfId="4" xr:uid="{2A454E4E-76EE-4F46-8D76-445C63A609B3}"/>
    <cellStyle name="Hyperlink" xfId="3" builtinId="8"/>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xdr:col>
      <xdr:colOff>421705</xdr:colOff>
      <xdr:row>0</xdr:row>
      <xdr:rowOff>154994</xdr:rowOff>
    </xdr:from>
    <xdr:to>
      <xdr:col>15</xdr:col>
      <xdr:colOff>209285</xdr:colOff>
      <xdr:row>2</xdr:row>
      <xdr:rowOff>128517</xdr:rowOff>
    </xdr:to>
    <xdr:sp macro="" textlink="">
      <xdr:nvSpPr>
        <xdr:cNvPr id="2" name="Text Placeholder 3">
          <a:extLst>
            <a:ext uri="{FF2B5EF4-FFF2-40B4-BE49-F238E27FC236}">
              <a16:creationId xmlns:a16="http://schemas.microsoft.com/office/drawing/2014/main" id="{2174126D-94FE-F841-8B57-C022386E199F}"/>
            </a:ext>
          </a:extLst>
        </xdr:cNvPr>
        <xdr:cNvSpPr>
          <a:spLocks noGrp="1"/>
        </xdr:cNvSpPr>
      </xdr:nvSpPr>
      <xdr:spPr>
        <a:xfrm>
          <a:off x="1094805" y="154994"/>
          <a:ext cx="9210980" cy="354523"/>
        </a:xfrm>
        <a:prstGeom prst="rect">
          <a:avLst/>
        </a:prstGeom>
        <a:solidFill>
          <a:srgbClr val="7CA3DC"/>
        </a:solidFill>
      </xdr:spPr>
      <xdr:txBody>
        <a:bodyPr vert="horz" wrap="square" lIns="0" tIns="0" rIns="0" bIns="0" rtlCol="0" anchor="ctr">
          <a:noAutofit/>
        </a:bodyPr>
        <a:lstStyle>
          <a:lvl1pPr marL="0" indent="0" algn="l" defTabSz="943386" rtl="0" eaLnBrk="1" latinLnBrk="0" hangingPunct="1">
            <a:spcBef>
              <a:spcPct val="20000"/>
            </a:spcBef>
            <a:buFont typeface="Calibri" panose="020F0502020204030204" pitchFamily="34" charset="0"/>
            <a:buNone/>
            <a:defRPr sz="1600" b="1" kern="1200">
              <a:solidFill>
                <a:schemeClr val="tx1"/>
              </a:solidFill>
              <a:latin typeface="+mn-lt"/>
              <a:ea typeface="+mn-ea"/>
              <a:cs typeface="+mn-cs"/>
            </a:defRPr>
          </a:lvl1pPr>
          <a:lvl2pPr marL="471693" indent="-235847" algn="l" defTabSz="943386" rtl="0" eaLnBrk="1" latinLnBrk="0" hangingPunct="1">
            <a:spcBef>
              <a:spcPct val="20000"/>
            </a:spcBef>
            <a:buClrTx/>
            <a:buFont typeface="Calibri" panose="020F0502020204030204" pitchFamily="34" charset="0"/>
            <a:buChar char="•"/>
            <a:defRPr sz="1600" kern="1200">
              <a:solidFill>
                <a:schemeClr val="tx1"/>
              </a:solidFill>
              <a:latin typeface="+mn-lt"/>
              <a:ea typeface="+mn-ea"/>
              <a:cs typeface="+mn-cs"/>
            </a:defRPr>
          </a:lvl2pPr>
          <a:lvl3pPr marL="943386" indent="-235847" algn="l" defTabSz="943386" rtl="0" eaLnBrk="1" latinLnBrk="0" hangingPunct="1">
            <a:spcBef>
              <a:spcPct val="20000"/>
            </a:spcBef>
            <a:buClrTx/>
            <a:buFont typeface="Calibri" panose="020F0502020204030204" pitchFamily="34" charset="0"/>
            <a:buChar char="–"/>
            <a:defRPr sz="1600" kern="1200">
              <a:solidFill>
                <a:schemeClr val="tx1"/>
              </a:solidFill>
              <a:latin typeface="+mn-lt"/>
              <a:ea typeface="+mn-ea"/>
              <a:cs typeface="+mn-cs"/>
            </a:defRPr>
          </a:lvl3pPr>
          <a:lvl4pPr marL="1419994" indent="-240760" algn="l" defTabSz="943386" rtl="0" eaLnBrk="1" latinLnBrk="0" hangingPunct="1">
            <a:spcBef>
              <a:spcPct val="20000"/>
            </a:spcBef>
            <a:buClrTx/>
            <a:buFont typeface="Calibri" panose="020F0502020204030204" pitchFamily="34" charset="0"/>
            <a:buChar char="•"/>
            <a:defRPr sz="1600" kern="1200">
              <a:solidFill>
                <a:schemeClr val="tx1"/>
              </a:solidFill>
              <a:latin typeface="+mn-lt"/>
              <a:ea typeface="+mn-ea"/>
              <a:cs typeface="+mn-cs"/>
            </a:defRPr>
          </a:lvl4pPr>
          <a:lvl5pPr marL="2124258" indent="-237485" algn="l" defTabSz="943386" rtl="0" eaLnBrk="1" latinLnBrk="0" hangingPunct="1">
            <a:spcBef>
              <a:spcPct val="20000"/>
            </a:spcBef>
            <a:buClrTx/>
            <a:buFont typeface="Calibri" panose="020F0502020204030204" pitchFamily="34" charset="0"/>
            <a:buChar char="–"/>
            <a:defRPr sz="1600" kern="1200">
              <a:solidFill>
                <a:schemeClr val="tx1"/>
              </a:solidFill>
              <a:latin typeface="+mn-lt"/>
              <a:ea typeface="+mn-ea"/>
              <a:cs typeface="+mn-cs"/>
            </a:defRPr>
          </a:lvl5pPr>
          <a:lvl6pPr marL="2594313" indent="-235847" algn="l" defTabSz="943386" rtl="0" eaLnBrk="1" latinLnBrk="0" hangingPunct="1">
            <a:spcBef>
              <a:spcPct val="20000"/>
            </a:spcBef>
            <a:buFont typeface="Arial" pitchFamily="34" charset="0"/>
            <a:buChar char="•"/>
            <a:defRPr sz="2063" kern="1200">
              <a:solidFill>
                <a:schemeClr val="tx1"/>
              </a:solidFill>
              <a:latin typeface="+mn-lt"/>
              <a:ea typeface="+mn-ea"/>
              <a:cs typeface="+mn-cs"/>
            </a:defRPr>
          </a:lvl6pPr>
          <a:lvl7pPr marL="3066006" indent="-235847" algn="l" defTabSz="943386" rtl="0" eaLnBrk="1" latinLnBrk="0" hangingPunct="1">
            <a:spcBef>
              <a:spcPct val="20000"/>
            </a:spcBef>
            <a:buFont typeface="Arial" pitchFamily="34" charset="0"/>
            <a:buChar char="•"/>
            <a:defRPr sz="2063" kern="1200">
              <a:solidFill>
                <a:schemeClr val="tx1"/>
              </a:solidFill>
              <a:latin typeface="+mn-lt"/>
              <a:ea typeface="+mn-ea"/>
              <a:cs typeface="+mn-cs"/>
            </a:defRPr>
          </a:lvl7pPr>
          <a:lvl8pPr marL="3537699" indent="-235847" algn="l" defTabSz="943386" rtl="0" eaLnBrk="1" latinLnBrk="0" hangingPunct="1">
            <a:spcBef>
              <a:spcPct val="20000"/>
            </a:spcBef>
            <a:buFont typeface="Arial" pitchFamily="34" charset="0"/>
            <a:buChar char="•"/>
            <a:defRPr sz="2063" kern="1200">
              <a:solidFill>
                <a:schemeClr val="tx1"/>
              </a:solidFill>
              <a:latin typeface="+mn-lt"/>
              <a:ea typeface="+mn-ea"/>
              <a:cs typeface="+mn-cs"/>
            </a:defRPr>
          </a:lvl8pPr>
          <a:lvl9pPr marL="4009393" indent="-235847" algn="l" defTabSz="943386" rtl="0" eaLnBrk="1" latinLnBrk="0" hangingPunct="1">
            <a:spcBef>
              <a:spcPct val="20000"/>
            </a:spcBef>
            <a:buFont typeface="Arial" pitchFamily="34" charset="0"/>
            <a:buChar char="•"/>
            <a:defRPr sz="2063" kern="1200">
              <a:solidFill>
                <a:schemeClr val="tx1"/>
              </a:solidFill>
              <a:latin typeface="+mn-lt"/>
              <a:ea typeface="+mn-ea"/>
              <a:cs typeface="+mn-cs"/>
            </a:defRPr>
          </a:lvl9pPr>
        </a:lstStyle>
        <a:p>
          <a:pPr lvl="0"/>
          <a:r>
            <a:rPr lang="en-US">
              <a:solidFill>
                <a:schemeClr val="bg1"/>
              </a:solidFill>
            </a:rPr>
            <a:t>Brain</a:t>
          </a:r>
          <a:r>
            <a:rPr lang="en-US" baseline="0">
              <a:solidFill>
                <a:schemeClr val="bg1"/>
              </a:solidFill>
            </a:rPr>
            <a:t> cancer: M</a:t>
          </a:r>
          <a:r>
            <a:rPr lang="en-US">
              <a:solidFill>
                <a:schemeClr val="bg1"/>
              </a:solidFill>
            </a:rPr>
            <a:t>arket model: Data Inputs</a:t>
          </a:r>
          <a:endParaRPr lang="en-IN">
            <a:solidFill>
              <a:schemeClr val="bg1"/>
            </a:solidFill>
          </a:endParaRPr>
        </a:p>
      </xdr:txBody>
    </xdr:sp>
    <xdr:clientData/>
  </xdr:twoCellAnchor>
  <xdr:oneCellAnchor>
    <xdr:from>
      <xdr:col>0</xdr:col>
      <xdr:colOff>1591520</xdr:colOff>
      <xdr:row>0</xdr:row>
      <xdr:rowOff>163974</xdr:rowOff>
    </xdr:from>
    <xdr:ext cx="358074" cy="366177"/>
    <xdr:pic>
      <xdr:nvPicPr>
        <xdr:cNvPr id="3" name="Picture 2" descr="Related image">
          <a:hlinkClick xmlns:r="http://schemas.openxmlformats.org/officeDocument/2006/relationships" r:id="rId1" tooltip="Home"/>
          <a:extLst>
            <a:ext uri="{FF2B5EF4-FFF2-40B4-BE49-F238E27FC236}">
              <a16:creationId xmlns:a16="http://schemas.microsoft.com/office/drawing/2014/main" id="{8FF23146-85F7-0D4D-8DB9-3935D7CE4E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7120" y="163974"/>
          <a:ext cx="358074" cy="36617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ournals.plos.org/plosmedicine/article?id=10.1371/journal.pmed.1002810" TargetMode="External"/><Relationship Id="rId13" Type="http://schemas.openxmlformats.org/officeDocument/2006/relationships/comments" Target="../comments1.xml"/><Relationship Id="rId3" Type="http://schemas.openxmlformats.org/officeDocument/2006/relationships/hyperlink" Target="chrome-extension://oemmndcbldboiebfnladdacbdfmadadm/https:/www.jmcp.org/doi/pdf/10.18553/jmcp.2019.25.4.428" TargetMode="External"/><Relationship Id="rId7" Type="http://schemas.openxmlformats.org/officeDocument/2006/relationships/hyperlink" Target="https://www.ncbi.nlm.nih.gov/pmc/articles/PMC3792931/" TargetMode="External"/><Relationship Id="rId12" Type="http://schemas.openxmlformats.org/officeDocument/2006/relationships/vmlDrawing" Target="../drawings/vmlDrawing1.vml"/><Relationship Id="rId2" Type="http://schemas.openxmlformats.org/officeDocument/2006/relationships/hyperlink" Target="https://www.jmcp.org/doi/pdf/10.18553/jmcp.2019.25.4.428" TargetMode="External"/><Relationship Id="rId1" Type="http://schemas.openxmlformats.org/officeDocument/2006/relationships/hyperlink" Target="https://sci-hub.tw/10.1007/s11060-018-03065-z" TargetMode="External"/><Relationship Id="rId6" Type="http://schemas.openxmlformats.org/officeDocument/2006/relationships/hyperlink" Target="https://link.springer.com/article/10.1007/s00432-018-02836-5" TargetMode="External"/><Relationship Id="rId11" Type="http://schemas.openxmlformats.org/officeDocument/2006/relationships/drawing" Target="../drawings/drawing1.xml"/><Relationship Id="rId5" Type="http://schemas.openxmlformats.org/officeDocument/2006/relationships/hyperlink" Target="https://link.springer.com/article/10.1007/s00432-018-02836-5" TargetMode="External"/><Relationship Id="rId10" Type="http://schemas.openxmlformats.org/officeDocument/2006/relationships/printerSettings" Target="../printerSettings/printerSettings1.bin"/><Relationship Id="rId4" Type="http://schemas.openxmlformats.org/officeDocument/2006/relationships/hyperlink" Target="https://www.ncbi.nlm.nih.gov/pmc/articles/PMC4165416/" TargetMode="External"/><Relationship Id="rId9" Type="http://schemas.openxmlformats.org/officeDocument/2006/relationships/hyperlink" Target="https://www.thelancet.com/journals/laneur/article/PIIS1474-4422(18)30468-X/full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42FD-A904-5141-A96B-0BDECB10C468}">
  <sheetPr>
    <tabColor theme="5" tint="0.39997558519241921"/>
  </sheetPr>
  <dimension ref="A1:AB309"/>
  <sheetViews>
    <sheetView showGridLines="0" showRowColHeaders="0" tabSelected="1" topLeftCell="A66" zoomScale="86" zoomScaleNormal="70" workbookViewId="0">
      <selection activeCell="P125" sqref="P125"/>
    </sheetView>
  </sheetViews>
  <sheetFormatPr baseColWidth="10" defaultColWidth="8.83203125" defaultRowHeight="15" outlineLevelRow="1" x14ac:dyDescent="0.2"/>
  <cols>
    <col min="1" max="1" width="16.33203125" style="1" customWidth="1"/>
    <col min="2" max="2" width="40.1640625" customWidth="1"/>
    <col min="3" max="3" width="15.83203125" customWidth="1"/>
    <col min="4" max="4" width="16.5" customWidth="1"/>
    <col min="5" max="5" width="14.6640625" customWidth="1"/>
    <col min="6" max="6" width="15.83203125" customWidth="1"/>
    <col min="7" max="7" width="16.6640625" customWidth="1"/>
    <col min="8" max="8" width="15.6640625" customWidth="1"/>
    <col min="9" max="9" width="15.33203125" customWidth="1"/>
    <col min="10" max="11" width="15.6640625" customWidth="1"/>
    <col min="12" max="13" width="15.33203125" customWidth="1"/>
    <col min="14" max="14" width="15.6640625" customWidth="1"/>
    <col min="15" max="16" width="15.1640625" customWidth="1"/>
    <col min="17" max="17" width="18.33203125" customWidth="1"/>
    <col min="18" max="18" width="12.5" customWidth="1"/>
    <col min="19" max="19" width="10.5" bestFit="1" customWidth="1"/>
    <col min="20" max="20" width="12.6640625" bestFit="1" customWidth="1"/>
    <col min="21" max="21" width="22.1640625" bestFit="1" customWidth="1"/>
    <col min="22" max="22" width="50.1640625" customWidth="1"/>
  </cols>
  <sheetData>
    <row r="1" spans="1:28" ht="13.5" customHeight="1" x14ac:dyDescent="0.2"/>
    <row r="4" spans="1:28" x14ac:dyDescent="0.2">
      <c r="D4" s="148"/>
      <c r="F4" s="163"/>
      <c r="L4" s="162"/>
    </row>
    <row r="5" spans="1:28" x14ac:dyDescent="0.2">
      <c r="B5" s="132" t="s">
        <v>255</v>
      </c>
      <c r="C5" s="132">
        <v>2017</v>
      </c>
      <c r="D5" s="132">
        <f>C5+1</f>
        <v>2018</v>
      </c>
      <c r="E5" s="132">
        <f>D5+1</f>
        <v>2019</v>
      </c>
      <c r="F5" s="132">
        <f>E5+1</f>
        <v>2020</v>
      </c>
      <c r="G5" s="132">
        <f>F5+1</f>
        <v>2021</v>
      </c>
      <c r="H5" s="132">
        <f>G5+1</f>
        <v>2022</v>
      </c>
      <c r="I5" s="132">
        <f>H5+1</f>
        <v>2023</v>
      </c>
      <c r="J5" s="132">
        <f>I5+1</f>
        <v>2024</v>
      </c>
      <c r="K5" s="132">
        <f>J5+1</f>
        <v>2025</v>
      </c>
      <c r="L5" s="132">
        <f>K5+1</f>
        <v>2026</v>
      </c>
      <c r="M5" s="132">
        <f>L5+1</f>
        <v>2027</v>
      </c>
      <c r="N5" s="132">
        <f>M5+1</f>
        <v>2028</v>
      </c>
      <c r="O5" s="132">
        <f>N5+1</f>
        <v>2029</v>
      </c>
      <c r="P5" s="132">
        <f>O5+1</f>
        <v>2030</v>
      </c>
      <c r="Q5" s="12"/>
      <c r="T5" s="132" t="s">
        <v>254</v>
      </c>
      <c r="U5" s="132" t="s">
        <v>253</v>
      </c>
      <c r="V5" s="132" t="s">
        <v>252</v>
      </c>
    </row>
    <row r="6" spans="1:28" x14ac:dyDescent="0.2">
      <c r="B6" s="124" t="s">
        <v>251</v>
      </c>
      <c r="C6" s="161"/>
      <c r="D6" s="160"/>
      <c r="E6" s="160"/>
      <c r="F6" s="161"/>
      <c r="G6" s="160"/>
      <c r="H6" s="160"/>
      <c r="I6" s="160"/>
      <c r="J6" s="160"/>
      <c r="K6" s="160"/>
      <c r="L6" s="160"/>
      <c r="M6" s="160"/>
      <c r="N6" s="160"/>
      <c r="O6" s="160"/>
      <c r="P6" s="160"/>
      <c r="Q6" s="155"/>
      <c r="T6" s="160"/>
      <c r="U6" s="160"/>
      <c r="V6" s="160"/>
      <c r="AB6" s="112"/>
    </row>
    <row r="7" spans="1:28" ht="15" customHeight="1" x14ac:dyDescent="0.2">
      <c r="A7" s="12" t="str">
        <f>$B$6&amp;B7</f>
        <v>Country-wise PopulationUSA</v>
      </c>
      <c r="B7" s="152" t="s">
        <v>7</v>
      </c>
      <c r="C7" s="151">
        <v>325904671.91001356</v>
      </c>
      <c r="D7" s="151">
        <v>328414137.8837207</v>
      </c>
      <c r="E7" s="151">
        <v>331008609.5730021</v>
      </c>
      <c r="F7" s="151">
        <v>333623577.58862883</v>
      </c>
      <c r="G7" s="151">
        <v>336259203.85157901</v>
      </c>
      <c r="H7" s="151">
        <v>338915651.56200647</v>
      </c>
      <c r="I7" s="151">
        <v>341593085.20934635</v>
      </c>
      <c r="J7" s="151">
        <v>344291670.58250022</v>
      </c>
      <c r="K7" s="151">
        <v>347011574.78010195</v>
      </c>
      <c r="L7" s="151">
        <v>349752966.22086477</v>
      </c>
      <c r="M7" s="151">
        <v>352516014.65400964</v>
      </c>
      <c r="N7" s="151">
        <v>355300891.16977632</v>
      </c>
      <c r="O7" s="151">
        <v>358107768.21001756</v>
      </c>
      <c r="P7" s="151">
        <v>360936819.57887673</v>
      </c>
      <c r="Q7" s="155"/>
      <c r="T7" s="114">
        <v>1.9038448138301928E-2</v>
      </c>
      <c r="U7" s="159"/>
      <c r="V7" s="158" t="s">
        <v>250</v>
      </c>
      <c r="AB7" s="112"/>
    </row>
    <row r="8" spans="1:28" x14ac:dyDescent="0.2">
      <c r="A8" s="12" t="str">
        <f>$B$6&amp;B8</f>
        <v>Country-wise PopulationGermany</v>
      </c>
      <c r="B8" s="152" t="s">
        <v>5</v>
      </c>
      <c r="C8" s="151">
        <v>82160205.234817952</v>
      </c>
      <c r="D8" s="151">
        <v>82004100.844871804</v>
      </c>
      <c r="E8" s="151">
        <v>81848293.05326654</v>
      </c>
      <c r="F8" s="151">
        <v>81692781.296465337</v>
      </c>
      <c r="G8" s="151">
        <v>81537565.012002051</v>
      </c>
      <c r="H8" s="151">
        <v>81382643.638479248</v>
      </c>
      <c r="I8" s="151">
        <v>81228016.615566134</v>
      </c>
      <c r="J8" s="151">
        <v>81073683.383996561</v>
      </c>
      <c r="K8" s="151">
        <v>80919643.385566965</v>
      </c>
      <c r="L8" s="151">
        <v>80765896.063134387</v>
      </c>
      <c r="M8" s="151">
        <v>80612440.860614434</v>
      </c>
      <c r="N8" s="151">
        <v>80459277.222979262</v>
      </c>
      <c r="O8" s="151">
        <v>80306404.5962556</v>
      </c>
      <c r="P8" s="151">
        <v>80153822.427522719</v>
      </c>
      <c r="Q8" s="155"/>
      <c r="T8" s="114">
        <v>9.8192075231942882E-3</v>
      </c>
      <c r="U8" s="157"/>
      <c r="V8" s="156"/>
      <c r="AB8" s="112"/>
    </row>
    <row r="9" spans="1:28" x14ac:dyDescent="0.2">
      <c r="A9" s="12" t="str">
        <f>$B$6&amp;B9</f>
        <v>Country-wise PopulationFrance</v>
      </c>
      <c r="B9" s="152" t="s">
        <v>4</v>
      </c>
      <c r="C9" s="151">
        <v>67064906.402527966</v>
      </c>
      <c r="D9" s="151">
        <v>67299633.574936822</v>
      </c>
      <c r="E9" s="151">
        <v>67535182.292449102</v>
      </c>
      <c r="F9" s="151">
        <v>67771555.430472672</v>
      </c>
      <c r="G9" s="151">
        <v>68008755.874479324</v>
      </c>
      <c r="H9" s="151">
        <v>68246786.520040005</v>
      </c>
      <c r="I9" s="151">
        <v>68485650.272860155</v>
      </c>
      <c r="J9" s="151">
        <v>68725350.048815176</v>
      </c>
      <c r="K9" s="151">
        <v>68965888.773986027</v>
      </c>
      <c r="L9" s="151">
        <v>69207269.384694979</v>
      </c>
      <c r="M9" s="151">
        <v>69449494.827541411</v>
      </c>
      <c r="N9" s="151">
        <v>69692568.059437811</v>
      </c>
      <c r="O9" s="151">
        <v>69936492.047645852</v>
      </c>
      <c r="P9" s="151">
        <v>70181269.769812614</v>
      </c>
      <c r="Q9" s="155"/>
      <c r="T9" s="114">
        <v>1.342546010883575E-2</v>
      </c>
      <c r="U9" s="157"/>
      <c r="V9" s="156"/>
      <c r="AB9" s="112"/>
    </row>
    <row r="10" spans="1:28" x14ac:dyDescent="0.2">
      <c r="A10" s="12" t="str">
        <f>$B$6&amp;B10</f>
        <v>Country-wise PopulationItaly</v>
      </c>
      <c r="B10" s="152" t="s">
        <v>3</v>
      </c>
      <c r="C10" s="151">
        <v>60677668.0636326</v>
      </c>
      <c r="D10" s="151">
        <v>60750481.265308961</v>
      </c>
      <c r="E10" s="151">
        <v>60823381.842827335</v>
      </c>
      <c r="F10" s="151">
        <v>60896369.901038736</v>
      </c>
      <c r="G10" s="151">
        <v>60969445.54491999</v>
      </c>
      <c r="H10" s="151">
        <v>61042608.879573897</v>
      </c>
      <c r="I10" s="151">
        <v>61115860.010229394</v>
      </c>
      <c r="J10" s="151">
        <v>61189199.042241678</v>
      </c>
      <c r="K10" s="151">
        <v>61262626.081092373</v>
      </c>
      <c r="L10" s="151">
        <v>61336141.232389688</v>
      </c>
      <c r="M10" s="151">
        <v>61409744.601868562</v>
      </c>
      <c r="N10" s="151">
        <v>61483436.295390807</v>
      </c>
      <c r="O10" s="151">
        <v>61557216.418945283</v>
      </c>
      <c r="P10" s="151">
        <v>61631085.078648023</v>
      </c>
      <c r="Q10" s="155"/>
      <c r="T10" s="114">
        <v>9.2143187299294337E-3</v>
      </c>
      <c r="U10" s="157"/>
      <c r="V10" s="156"/>
      <c r="AB10" s="112"/>
    </row>
    <row r="11" spans="1:28" x14ac:dyDescent="0.2">
      <c r="A11" s="12" t="str">
        <f>$B$6&amp;B11</f>
        <v>Country-wise PopulationSpain</v>
      </c>
      <c r="B11" s="152" t="s">
        <v>2</v>
      </c>
      <c r="C11" s="151">
        <v>46755177.830877848</v>
      </c>
      <c r="D11" s="151">
        <v>47068437.522344723</v>
      </c>
      <c r="E11" s="151">
        <v>47383796.053744428</v>
      </c>
      <c r="F11" s="151">
        <v>47701267.487304509</v>
      </c>
      <c r="G11" s="151">
        <v>48020865.979469448</v>
      </c>
      <c r="H11" s="151">
        <v>48342605.781531893</v>
      </c>
      <c r="I11" s="151">
        <v>48666501.240268156</v>
      </c>
      <c r="J11" s="151">
        <v>48992566.798577949</v>
      </c>
      <c r="K11" s="151">
        <v>49320816.996128418</v>
      </c>
      <c r="L11" s="151">
        <v>49651266.470002472</v>
      </c>
      <c r="M11" s="151">
        <v>49983929.955351487</v>
      </c>
      <c r="N11" s="151">
        <v>50318822.286052339</v>
      </c>
      <c r="O11" s="151">
        <v>50655958.395368889</v>
      </c>
      <c r="P11" s="151">
        <v>50995353.316617854</v>
      </c>
      <c r="Q11" s="155"/>
      <c r="T11" s="114">
        <v>1.3493594415434644E-2</v>
      </c>
      <c r="U11" s="157"/>
      <c r="V11" s="156"/>
      <c r="AB11" s="112"/>
    </row>
    <row r="12" spans="1:28" x14ac:dyDescent="0.2">
      <c r="A12" s="12" t="str">
        <f>$B$6&amp;B12</f>
        <v>Country-wise PopulationUK</v>
      </c>
      <c r="B12" s="152" t="s">
        <v>1</v>
      </c>
      <c r="C12" s="151">
        <v>65891127.130571306</v>
      </c>
      <c r="D12" s="151">
        <v>66213993.6535111</v>
      </c>
      <c r="E12" s="151">
        <v>66538442.222413294</v>
      </c>
      <c r="F12" s="151">
        <v>66864480.589303114</v>
      </c>
      <c r="G12" s="151">
        <v>67192116.54419069</v>
      </c>
      <c r="H12" s="151">
        <v>67521357.915257215</v>
      </c>
      <c r="I12" s="151">
        <v>67852212.569041967</v>
      </c>
      <c r="J12" s="151">
        <v>68184688.410630271</v>
      </c>
      <c r="K12" s="151">
        <v>68518793.383842349</v>
      </c>
      <c r="L12" s="151">
        <v>68854535.471423164</v>
      </c>
      <c r="M12" s="151">
        <v>69191922.695233136</v>
      </c>
      <c r="N12" s="151">
        <v>69530963.116439775</v>
      </c>
      <c r="O12" s="151">
        <v>69871664.835710317</v>
      </c>
      <c r="P12" s="151">
        <v>70214035.993405297</v>
      </c>
      <c r="Q12" s="127"/>
      <c r="T12" s="114">
        <v>1.4452636481771208E-2</v>
      </c>
      <c r="U12" s="157"/>
      <c r="V12" s="156"/>
      <c r="AB12" s="112"/>
    </row>
    <row r="13" spans="1:28" x14ac:dyDescent="0.2">
      <c r="A13" s="12" t="str">
        <f>$B$6&amp;B13</f>
        <v>Country-wise PopulationJapan</v>
      </c>
      <c r="B13" s="152" t="s">
        <v>0</v>
      </c>
      <c r="C13" s="151">
        <v>126582375.02603838</v>
      </c>
      <c r="D13" s="151">
        <v>126240602.61346807</v>
      </c>
      <c r="E13" s="151">
        <v>125899752.98641169</v>
      </c>
      <c r="F13" s="151">
        <v>125559823.65334837</v>
      </c>
      <c r="G13" s="151">
        <v>125220812.12948433</v>
      </c>
      <c r="H13" s="151">
        <v>124882715.93673471</v>
      </c>
      <c r="I13" s="151">
        <v>124545532.60370553</v>
      </c>
      <c r="J13" s="151">
        <v>124209259.66567552</v>
      </c>
      <c r="K13" s="151">
        <v>123873894.6645782</v>
      </c>
      <c r="L13" s="151">
        <v>123539435.14898384</v>
      </c>
      <c r="M13" s="151">
        <v>123205878.67408158</v>
      </c>
      <c r="N13" s="151">
        <v>122873222.80166155</v>
      </c>
      <c r="O13" s="151">
        <v>122541465.10009706</v>
      </c>
      <c r="P13" s="151">
        <v>122210603.14432679</v>
      </c>
      <c r="Q13" s="155"/>
      <c r="T13" s="114">
        <v>1.0066339859018818E-2</v>
      </c>
      <c r="U13" s="154"/>
      <c r="V13" s="153"/>
      <c r="AB13" s="112"/>
    </row>
    <row r="14" spans="1:28" x14ac:dyDescent="0.2">
      <c r="A14" s="12"/>
      <c r="C14" s="112"/>
    </row>
    <row r="15" spans="1:28" x14ac:dyDescent="0.2">
      <c r="A15" s="12"/>
      <c r="B15" s="124" t="s">
        <v>249</v>
      </c>
      <c r="C15" s="151"/>
      <c r="D15" s="151"/>
      <c r="E15" s="151"/>
      <c r="F15" s="151"/>
      <c r="G15" s="151"/>
      <c r="H15" s="151"/>
      <c r="I15" s="151"/>
      <c r="J15" s="151"/>
      <c r="K15" s="151"/>
      <c r="L15" s="151"/>
      <c r="M15" s="151"/>
      <c r="N15" s="151"/>
      <c r="O15" s="151"/>
      <c r="P15" s="151"/>
      <c r="Q15" s="151" t="s">
        <v>248</v>
      </c>
    </row>
    <row r="16" spans="1:28" ht="16" x14ac:dyDescent="0.2">
      <c r="A16" s="12" t="str">
        <f>$B$15&amp;B16</f>
        <v>Brain Tumor/ Central Nervous System (Globocan: All Ages)USA</v>
      </c>
      <c r="B16" s="152" t="s">
        <v>7</v>
      </c>
      <c r="C16" s="151">
        <v>24725</v>
      </c>
      <c r="D16" s="151">
        <f>C16*(1+$Q16)</f>
        <v>25018.914413838589</v>
      </c>
      <c r="E16" s="151">
        <f>D16*(1+$Q16)</f>
        <v>25316.322687441065</v>
      </c>
      <c r="F16" s="151">
        <f>E16*(1+$Q16)</f>
        <v>25617.266353496791</v>
      </c>
      <c r="G16" s="151">
        <f>F16*(1+$Q16)</f>
        <v>25921.787438408217</v>
      </c>
      <c r="H16" s="151">
        <f>G16*(1+$Q16)</f>
        <v>26229.928468159815</v>
      </c>
      <c r="I16" s="151">
        <f>H16*(1+$Q16)</f>
        <v>26541.732474256773</v>
      </c>
      <c r="J16" s="151">
        <f>I16*(1+$Q16)</f>
        <v>26857.242999734299</v>
      </c>
      <c r="K16" s="151">
        <f>J16*(1+$Q16)</f>
        <v>27176.504105238342</v>
      </c>
      <c r="L16" s="151">
        <f>K16*(1+$Q16)</f>
        <v>27499.560375178611</v>
      </c>
      <c r="M16" s="151">
        <f>L16*(1+$Q16)</f>
        <v>27826.456923954727</v>
      </c>
      <c r="N16" s="151">
        <f>M16*(1+$Q16)</f>
        <v>28157.2394022564</v>
      </c>
      <c r="O16" s="151">
        <f>N16*(1+$Q16)</f>
        <v>28491.954003438481</v>
      </c>
      <c r="P16" s="151">
        <f>O16*(1+$Q16)</f>
        <v>28830.647469971813</v>
      </c>
      <c r="Q16" s="34">
        <v>1.1887337263441378E-2</v>
      </c>
      <c r="T16" s="114"/>
      <c r="U16" s="117" t="s">
        <v>247</v>
      </c>
      <c r="V16" s="145" t="s">
        <v>246</v>
      </c>
    </row>
    <row r="17" spans="1:28" x14ac:dyDescent="0.2">
      <c r="A17" s="12" t="str">
        <f>$B$15&amp;B17</f>
        <v>Brain Tumor/ Central Nervous System (Globocan: All Ages)Germany</v>
      </c>
      <c r="B17" s="152" t="s">
        <v>5</v>
      </c>
      <c r="C17" s="151">
        <v>8300.44</v>
      </c>
      <c r="D17" s="151">
        <f>C17*(1+$Q17)</f>
        <v>8346.301003413213</v>
      </c>
      <c r="E17" s="151">
        <f>D17*(1+$Q17)</f>
        <v>8392.4153947955037</v>
      </c>
      <c r="F17" s="151">
        <f>E17*(1+$Q17)</f>
        <v>8438.7845741481415</v>
      </c>
      <c r="G17" s="151">
        <f>F17*(1+$Q17)</f>
        <v>8485.4099492075802</v>
      </c>
      <c r="H17" s="151">
        <f>G17*(1+$Q17)</f>
        <v>8532.2929354881999</v>
      </c>
      <c r="I17" s="151">
        <f>H17*(1+$Q17)</f>
        <v>8579.4349563252817</v>
      </c>
      <c r="J17" s="151">
        <f>I17*(1+$Q17)</f>
        <v>8626.8374429182168</v>
      </c>
      <c r="K17" s="151">
        <f>J17*(1+$Q17)</f>
        <v>8674.5018343739594</v>
      </c>
      <c r="L17" s="151">
        <f>K17*(1+$Q17)</f>
        <v>8722.4295777507123</v>
      </c>
      <c r="M17" s="151">
        <f>L17*(1+$Q17)</f>
        <v>8770.6221281018661</v>
      </c>
      <c r="N17" s="151">
        <f>M17*(1+$Q17)</f>
        <v>8819.0809485201662</v>
      </c>
      <c r="O17" s="151">
        <f>N17*(1+$Q17)</f>
        <v>8867.807510182136</v>
      </c>
      <c r="P17" s="151">
        <f>O17*(1+$Q17)</f>
        <v>8916.8032923927385</v>
      </c>
      <c r="Q17" s="34">
        <v>5.52512919956194E-3</v>
      </c>
    </row>
    <row r="18" spans="1:28" x14ac:dyDescent="0.2">
      <c r="A18" s="12" t="str">
        <f>$B$15&amp;B18</f>
        <v>Brain Tumor/ Central Nervous System (Globocan: All Ages)France</v>
      </c>
      <c r="B18" s="152" t="s">
        <v>4</v>
      </c>
      <c r="C18" s="151">
        <v>6359.11</v>
      </c>
      <c r="D18" s="151">
        <f>C18*(1+$Q18)</f>
        <v>6415.6355037068124</v>
      </c>
      <c r="E18" s="151">
        <f>D18*(1+$Q18)</f>
        <v>6472.6634570597716</v>
      </c>
      <c r="F18" s="151">
        <f>E18*(1+$Q18)</f>
        <v>6530.1983262843933</v>
      </c>
      <c r="G18" s="151">
        <f>F18*(1+$Q18)</f>
        <v>6588.2446173060316</v>
      </c>
      <c r="H18" s="151">
        <f>G18*(1+$Q18)</f>
        <v>6646.8068761027689</v>
      </c>
      <c r="I18" s="151">
        <f>H18*(1+$Q18)</f>
        <v>6705.8896890614396</v>
      </c>
      <c r="J18" s="151">
        <f>I18*(1+$Q18)</f>
        <v>6765.49768333682</v>
      </c>
      <c r="K18" s="151">
        <f>J18*(1+$Q18)</f>
        <v>6825.6355272140117</v>
      </c>
      <c r="L18" s="151">
        <f>K18*(1+$Q18)</f>
        <v>6886.3079304740413</v>
      </c>
      <c r="M18" s="151">
        <f>L18*(1+$Q18)</f>
        <v>6947.5196447627168</v>
      </c>
      <c r="N18" s="151">
        <f>M18*(1+$Q18)</f>
        <v>7009.2754639627601</v>
      </c>
      <c r="O18" s="151">
        <f>N18*(1+$Q18)</f>
        <v>7071.5802245692439</v>
      </c>
      <c r="P18" s="151">
        <f>O18*(1+$Q18)</f>
        <v>7134.4388060683705</v>
      </c>
      <c r="Q18" s="34">
        <v>8.8889017027244943E-3</v>
      </c>
    </row>
    <row r="19" spans="1:28" x14ac:dyDescent="0.2">
      <c r="A19" s="12" t="str">
        <f>$B$15&amp;B19</f>
        <v>Brain Tumor/ Central Nervous System (Globocan: All Ages)Italy</v>
      </c>
      <c r="B19" s="152" t="s">
        <v>3</v>
      </c>
      <c r="C19" s="151">
        <v>8464.1299999999992</v>
      </c>
      <c r="D19" s="151">
        <f>C19*(1+$Q19)</f>
        <v>8513.1842910719861</v>
      </c>
      <c r="E19" s="151">
        <f>D19*(1+$Q19)</f>
        <v>8562.5228787547985</v>
      </c>
      <c r="F19" s="151">
        <f>E19*(1+$Q19)</f>
        <v>8612.1474107037393</v>
      </c>
      <c r="G19" s="151">
        <f>F19*(1+$Q19)</f>
        <v>8662.0595441231835</v>
      </c>
      <c r="H19" s="151">
        <f>G19*(1+$Q19)</f>
        <v>8712.2609458219176</v>
      </c>
      <c r="I19" s="151">
        <f>H19*(1+$Q19)</f>
        <v>8762.7532922688006</v>
      </c>
      <c r="J19" s="151">
        <f>I19*(1+$Q19)</f>
        <v>8813.5382696487522</v>
      </c>
      <c r="K19" s="151">
        <f>J19*(1+$Q19)</f>
        <v>8864.6175739190621</v>
      </c>
      <c r="L19" s="151">
        <f>K19*(1+$Q19)</f>
        <v>8915.9929108660235</v>
      </c>
      <c r="M19" s="151">
        <f>L19*(1+$Q19)</f>
        <v>8967.6659961619007</v>
      </c>
      <c r="N19" s="151">
        <f>M19*(1+$Q19)</f>
        <v>9019.6385554222252</v>
      </c>
      <c r="O19" s="151">
        <f>N19*(1+$Q19)</f>
        <v>9071.9123242634178</v>
      </c>
      <c r="P19" s="151">
        <f>O19*(1+$Q19)</f>
        <v>9124.4890483607523</v>
      </c>
      <c r="Q19" s="34">
        <v>5.7955502895143951E-3</v>
      </c>
    </row>
    <row r="20" spans="1:28" x14ac:dyDescent="0.2">
      <c r="A20" s="12" t="str">
        <f>$B$15&amp;B20</f>
        <v>Brain Tumor/ Central Nervous System (Globocan: All Ages)Spain</v>
      </c>
      <c r="B20" s="152" t="s">
        <v>2</v>
      </c>
      <c r="C20" s="151">
        <v>5053.54</v>
      </c>
      <c r="D20" s="151">
        <f>C20*(1+$Q20)</f>
        <v>5109.0267030517944</v>
      </c>
      <c r="E20" s="151">
        <f>D20*(1+$Q20)</f>
        <v>5165.1226372990586</v>
      </c>
      <c r="F20" s="151">
        <f>E20*(1+$Q20)</f>
        <v>5221.8344919597348</v>
      </c>
      <c r="G20" s="151">
        <f>F20*(1+$Q20)</f>
        <v>5279.1690296978322</v>
      </c>
      <c r="H20" s="151">
        <f>G20*(1+$Q20)</f>
        <v>5337.1330874298519</v>
      </c>
      <c r="I20" s="151">
        <f>H20*(1+$Q20)</f>
        <v>5395.7335771400603</v>
      </c>
      <c r="J20" s="151">
        <f>I20*(1+$Q20)</f>
        <v>5454.9774867047154</v>
      </c>
      <c r="K20" s="151">
        <f>J20*(1+$Q20)</f>
        <v>5514.8718807253435</v>
      </c>
      <c r="L20" s="151">
        <f>K20*(1+$Q20)</f>
        <v>5575.4239013711676</v>
      </c>
      <c r="M20" s="151">
        <f>L20*(1+$Q20)</f>
        <v>5636.6407692307785</v>
      </c>
      <c r="N20" s="151">
        <f>M20*(1+$Q20)</f>
        <v>5698.5297841731644</v>
      </c>
      <c r="O20" s="151">
        <f>N20*(1+$Q20)</f>
        <v>5761.0983262181899</v>
      </c>
      <c r="P20" s="151">
        <f>O20*(1+$Q20)</f>
        <v>5824.3538564166365</v>
      </c>
      <c r="Q20" s="34">
        <v>1.0979769241322712E-2</v>
      </c>
    </row>
    <row r="21" spans="1:28" x14ac:dyDescent="0.2">
      <c r="A21" s="12" t="str">
        <f>$B$15&amp;B21</f>
        <v>Brain Tumor/ Central Nervous System (Globocan: All Ages)UK</v>
      </c>
      <c r="B21" s="152" t="s">
        <v>1</v>
      </c>
      <c r="C21" s="151">
        <v>5053.1099999999997</v>
      </c>
      <c r="D21" s="151">
        <f>C21*(1+$Q21)</f>
        <v>5106.6983181156729</v>
      </c>
      <c r="E21" s="151">
        <f>D21*(1+$Q21)</f>
        <v>5160.8549412629927</v>
      </c>
      <c r="F21" s="151">
        <f>E21*(1+$Q21)</f>
        <v>5215.5858963265564</v>
      </c>
      <c r="G21" s="151">
        <f>F21*(1+$Q21)</f>
        <v>5270.8972741061743</v>
      </c>
      <c r="H21" s="151">
        <f>G21*(1+$Q21)</f>
        <v>5326.7952299946937</v>
      </c>
      <c r="I21" s="151">
        <f>H21*(1+$Q21)</f>
        <v>5383.2859846630081</v>
      </c>
      <c r="J21" s="151">
        <f>I21*(1+$Q21)</f>
        <v>5440.3758247523319</v>
      </c>
      <c r="K21" s="151">
        <f>J21*(1+$Q21)</f>
        <v>5498.0711035738195</v>
      </c>
      <c r="L21" s="151">
        <f>K21*(1+$Q21)</f>
        <v>5556.3782418155961</v>
      </c>
      <c r="M21" s="151">
        <f>L21*(1+$Q21)</f>
        <v>5615.3037282572959</v>
      </c>
      <c r="N21" s="151">
        <f>M21*(1+$Q21)</f>
        <v>5674.8541204921721</v>
      </c>
      <c r="O21" s="151">
        <f>N21*(1+$Q21)</f>
        <v>5735.0360456568669</v>
      </c>
      <c r="P21" s="151">
        <f>O21*(1+$Q21)</f>
        <v>5795.8562011689201</v>
      </c>
      <c r="Q21" s="34">
        <v>1.0605017131167349E-2</v>
      </c>
    </row>
    <row r="22" spans="1:28" x14ac:dyDescent="0.2">
      <c r="A22" s="12" t="str">
        <f>$B$15&amp;B22</f>
        <v>Brain Tumor/ Central Nervous System (Globocan: All Ages)Japan</v>
      </c>
      <c r="B22" s="152" t="s">
        <v>0</v>
      </c>
      <c r="C22" s="151">
        <v>8953.3700000000008</v>
      </c>
      <c r="D22" s="151">
        <f>C22*(1+$Q22)</f>
        <v>9032.9556258381235</v>
      </c>
      <c r="E22" s="151">
        <f>D22*(1+$Q22)</f>
        <v>9113.2486804812706</v>
      </c>
      <c r="F22" s="151">
        <f>E22*(1+$Q22)</f>
        <v>9194.2554521945531</v>
      </c>
      <c r="G22" s="151">
        <f>F22*(1+$Q22)</f>
        <v>9275.982285138849</v>
      </c>
      <c r="H22" s="151">
        <f>G22*(1+$Q22)</f>
        <v>9358.4355798676625</v>
      </c>
      <c r="I22" s="151">
        <f>H22*(1+$Q22)</f>
        <v>9441.6217938283862</v>
      </c>
      <c r="J22" s="151">
        <f>I22*(1+$Q22)</f>
        <v>9525.5474418680278</v>
      </c>
      <c r="K22" s="151">
        <f>J22*(1+$Q22)</f>
        <v>9610.2190967434308</v>
      </c>
      <c r="L22" s="151">
        <f>K22*(1+$Q22)</f>
        <v>9695.6433896360286</v>
      </c>
      <c r="M22" s="151">
        <f>L22*(1+$Q22)</f>
        <v>9781.8270106711734</v>
      </c>
      <c r="N22" s="151">
        <f>M22*(1+$Q22)</f>
        <v>9868.7767094420851</v>
      </c>
      <c r="O22" s="151">
        <f>N22*(1+$Q22)</f>
        <v>9956.4992955384532</v>
      </c>
      <c r="P22" s="151">
        <f>O22*(1+$Q22)</f>
        <v>10045.001639079741</v>
      </c>
      <c r="Q22" s="34">
        <v>8.8889017027244943E-3</v>
      </c>
    </row>
    <row r="23" spans="1:28" x14ac:dyDescent="0.2">
      <c r="A23" s="12"/>
      <c r="B23" s="149"/>
      <c r="C23" s="150"/>
      <c r="D23" s="150"/>
      <c r="E23" s="149"/>
      <c r="F23" s="149"/>
      <c r="G23" s="150"/>
      <c r="H23" s="150"/>
      <c r="I23" s="149"/>
      <c r="J23" s="149"/>
      <c r="K23" s="149"/>
      <c r="L23" s="149"/>
      <c r="M23" s="149"/>
      <c r="N23" s="149"/>
      <c r="O23" s="149"/>
      <c r="P23" s="149"/>
      <c r="Q23" s="149"/>
    </row>
    <row r="24" spans="1:28" ht="14.5" customHeight="1" x14ac:dyDescent="0.2">
      <c r="A24" s="130"/>
      <c r="B24" s="124" t="s">
        <v>245</v>
      </c>
      <c r="C24" s="132" t="s">
        <v>211</v>
      </c>
      <c r="D24" s="132" t="s">
        <v>5</v>
      </c>
      <c r="E24" s="132" t="s">
        <v>4</v>
      </c>
      <c r="F24" s="132" t="s">
        <v>3</v>
      </c>
      <c r="G24" s="132" t="s">
        <v>2</v>
      </c>
      <c r="H24" s="132" t="s">
        <v>1</v>
      </c>
      <c r="I24" s="132" t="s">
        <v>0</v>
      </c>
      <c r="J24" s="136"/>
      <c r="AB24" s="112"/>
    </row>
    <row r="25" spans="1:28" ht="14.5" customHeight="1" x14ac:dyDescent="0.2">
      <c r="A25" s="130" t="str">
        <f>B24&amp;B25</f>
        <v>Incidence of Brain TumorsPrimary Brain Tumors</v>
      </c>
      <c r="B25" s="35" t="s">
        <v>244</v>
      </c>
      <c r="C25" s="34">
        <v>0.9</v>
      </c>
      <c r="D25" s="34">
        <v>0.85</v>
      </c>
      <c r="E25" s="34">
        <v>0.85</v>
      </c>
      <c r="F25" s="34">
        <v>0.85</v>
      </c>
      <c r="G25" s="34">
        <v>0.85</v>
      </c>
      <c r="H25" s="34">
        <v>0.85</v>
      </c>
      <c r="I25" s="34">
        <v>0.9</v>
      </c>
      <c r="J25" s="136"/>
      <c r="T25" s="114"/>
      <c r="U25" s="117" t="s">
        <v>243</v>
      </c>
      <c r="V25" s="145" t="s">
        <v>242</v>
      </c>
      <c r="AB25" s="112"/>
    </row>
    <row r="26" spans="1:28" x14ac:dyDescent="0.2">
      <c r="A26" s="12"/>
      <c r="C26" s="148"/>
      <c r="D26" s="148"/>
      <c r="E26" s="148"/>
      <c r="F26" s="148"/>
      <c r="G26" s="148"/>
      <c r="H26" s="148"/>
      <c r="I26" s="148"/>
      <c r="J26" s="112"/>
      <c r="K26" s="23"/>
    </row>
    <row r="27" spans="1:28" ht="14.5" customHeight="1" x14ac:dyDescent="0.2">
      <c r="A27" s="130"/>
      <c r="B27" s="124" t="s">
        <v>241</v>
      </c>
      <c r="C27" s="132" t="s">
        <v>211</v>
      </c>
      <c r="D27" s="132" t="s">
        <v>5</v>
      </c>
      <c r="E27" s="132" t="s">
        <v>4</v>
      </c>
      <c r="F27" s="132" t="s">
        <v>3</v>
      </c>
      <c r="G27" s="132" t="s">
        <v>2</v>
      </c>
      <c r="H27" s="132" t="s">
        <v>1</v>
      </c>
      <c r="I27" s="132" t="s">
        <v>0</v>
      </c>
      <c r="J27" s="147"/>
      <c r="T27" s="114"/>
      <c r="U27" s="117" t="s">
        <v>240</v>
      </c>
      <c r="V27" s="145" t="s">
        <v>239</v>
      </c>
      <c r="AB27" s="112"/>
    </row>
    <row r="28" spans="1:28" ht="14.5" customHeight="1" x14ac:dyDescent="0.2">
      <c r="A28" s="130" t="str">
        <f>B27&amp;B28</f>
        <v>Grade-specific Incidence of Brain TumorsLow Grade (I and II)</v>
      </c>
      <c r="B28" s="35" t="s">
        <v>238</v>
      </c>
      <c r="C28" s="34">
        <v>0.3</v>
      </c>
      <c r="D28" s="34">
        <v>0.3</v>
      </c>
      <c r="E28" s="34">
        <v>0.3</v>
      </c>
      <c r="F28" s="34">
        <v>0.3</v>
      </c>
      <c r="G28" s="34">
        <v>0.3</v>
      </c>
      <c r="H28" s="34">
        <v>0.3</v>
      </c>
      <c r="I28" s="34">
        <v>0.3</v>
      </c>
      <c r="AB28" s="112"/>
    </row>
    <row r="29" spans="1:28" ht="14.5" customHeight="1" x14ac:dyDescent="0.2">
      <c r="A29" s="130" t="str">
        <f>B27&amp;B29</f>
        <v>Grade-specific Incidence of Brain TumorsHigh Grade (III and IV)</v>
      </c>
      <c r="B29" s="35" t="s">
        <v>237</v>
      </c>
      <c r="C29" s="34">
        <f>100%-C28</f>
        <v>0.7</v>
      </c>
      <c r="D29" s="34">
        <v>0.7</v>
      </c>
      <c r="E29" s="34">
        <v>0.7</v>
      </c>
      <c r="F29" s="34">
        <v>0.7</v>
      </c>
      <c r="G29" s="34">
        <v>0.7</v>
      </c>
      <c r="H29" s="34">
        <v>0.7</v>
      </c>
      <c r="I29" s="34">
        <v>0.7</v>
      </c>
      <c r="K29" s="129"/>
      <c r="AB29" s="112"/>
    </row>
    <row r="30" spans="1:28" x14ac:dyDescent="0.2">
      <c r="A30" s="12"/>
      <c r="B30" s="128"/>
      <c r="C30" s="128"/>
      <c r="D30" s="128"/>
      <c r="E30" s="128"/>
      <c r="F30" s="128"/>
      <c r="G30" s="128"/>
      <c r="H30" s="128"/>
      <c r="I30" s="128"/>
      <c r="L30" s="3"/>
    </row>
    <row r="31" spans="1:28" ht="14.5" customHeight="1" x14ac:dyDescent="0.2">
      <c r="A31" s="130"/>
      <c r="B31" s="124" t="s">
        <v>236</v>
      </c>
      <c r="C31" s="132" t="s">
        <v>211</v>
      </c>
      <c r="D31" s="132" t="s">
        <v>5</v>
      </c>
      <c r="E31" s="132" t="s">
        <v>4</v>
      </c>
      <c r="F31" s="132" t="s">
        <v>3</v>
      </c>
      <c r="G31" s="132" t="s">
        <v>2</v>
      </c>
      <c r="H31" s="132" t="s">
        <v>1</v>
      </c>
      <c r="I31" s="132" t="s">
        <v>0</v>
      </c>
      <c r="AB31" s="112"/>
    </row>
    <row r="32" spans="1:28" ht="14.5" customHeight="1" x14ac:dyDescent="0.2">
      <c r="A32" s="130" t="str">
        <f>B31&amp;B32</f>
        <v xml:space="preserve">Type-specific Incidence of Brain TumorsPilocytic Astrocytoma </v>
      </c>
      <c r="B32" s="144" t="s">
        <v>235</v>
      </c>
      <c r="C32" s="34">
        <v>0.06</v>
      </c>
      <c r="D32" s="34">
        <v>0.05</v>
      </c>
      <c r="E32" s="34">
        <v>0.05</v>
      </c>
      <c r="F32" s="34">
        <v>0.05</v>
      </c>
      <c r="G32" s="34">
        <v>0.05</v>
      </c>
      <c r="H32" s="34">
        <v>0.05</v>
      </c>
      <c r="I32" s="34">
        <v>0.05</v>
      </c>
      <c r="J32" s="147"/>
      <c r="T32" s="114"/>
      <c r="U32" s="146" t="s">
        <v>234</v>
      </c>
      <c r="V32" s="145" t="s">
        <v>233</v>
      </c>
      <c r="AB32" s="112"/>
    </row>
    <row r="33" spans="1:28" ht="14.5" customHeight="1" x14ac:dyDescent="0.2">
      <c r="A33" s="130" t="str">
        <f>B31&amp;B33</f>
        <v>Type-specific Incidence of Brain TumorsDiffuse Astrocytoma</v>
      </c>
      <c r="B33" s="144" t="s">
        <v>232</v>
      </c>
      <c r="C33" s="34">
        <v>0.15</v>
      </c>
      <c r="D33" s="34">
        <v>0.15</v>
      </c>
      <c r="E33" s="34">
        <v>0.15</v>
      </c>
      <c r="F33" s="34">
        <v>0.15</v>
      </c>
      <c r="G33" s="34">
        <v>0.15</v>
      </c>
      <c r="H33" s="34">
        <v>0.15</v>
      </c>
      <c r="I33" s="34">
        <v>0.14000000000000001</v>
      </c>
      <c r="J33" s="131"/>
      <c r="AB33" s="112"/>
    </row>
    <row r="34" spans="1:28" ht="14.5" customHeight="1" x14ac:dyDescent="0.2">
      <c r="A34" s="130" t="str">
        <f>B31&amp;B34</f>
        <v>Type-specific Incidence of Brain TumorsAnaplastic Astrocytoma</v>
      </c>
      <c r="B34" s="144" t="s">
        <v>231</v>
      </c>
      <c r="C34" s="34">
        <v>0.08</v>
      </c>
      <c r="D34" s="34">
        <v>0.08</v>
      </c>
      <c r="E34" s="34">
        <v>0.08</v>
      </c>
      <c r="F34" s="34">
        <v>0.08</v>
      </c>
      <c r="G34" s="34">
        <v>0.08</v>
      </c>
      <c r="H34" s="34">
        <v>0.08</v>
      </c>
      <c r="I34" s="34">
        <v>0.13</v>
      </c>
      <c r="J34" s="131"/>
      <c r="K34" s="3"/>
      <c r="T34" s="114"/>
      <c r="U34" s="117" t="s">
        <v>230</v>
      </c>
      <c r="V34" s="145" t="s">
        <v>229</v>
      </c>
      <c r="AB34" s="112"/>
    </row>
    <row r="35" spans="1:28" ht="14.5" customHeight="1" x14ac:dyDescent="0.2">
      <c r="A35" s="130" t="str">
        <f>B31&amp;B35</f>
        <v>Type-specific Incidence of Brain TumorsOligodendrogliomas</v>
      </c>
      <c r="B35" s="144" t="s">
        <v>228</v>
      </c>
      <c r="C35" s="34">
        <v>7.0000000000000007E-2</v>
      </c>
      <c r="D35" s="34">
        <v>6.4000000000000001E-2</v>
      </c>
      <c r="E35" s="34">
        <v>6.4000000000000001E-2</v>
      </c>
      <c r="F35" s="34">
        <v>6.4000000000000001E-2</v>
      </c>
      <c r="G35" s="34">
        <v>6.4000000000000001E-2</v>
      </c>
      <c r="H35" s="34">
        <v>6.4000000000000001E-2</v>
      </c>
      <c r="I35" s="34">
        <v>6.4000000000000001E-2</v>
      </c>
      <c r="T35" s="133"/>
      <c r="U35" s="133"/>
      <c r="V35" s="143"/>
      <c r="AB35" s="112"/>
    </row>
    <row r="36" spans="1:28" x14ac:dyDescent="0.2">
      <c r="A36" s="130" t="str">
        <f>B31&amp;B36</f>
        <v>Type-specific Incidence of Brain TumorsGlioblastoma Multiforme (GBM)</v>
      </c>
      <c r="B36" s="35" t="s">
        <v>227</v>
      </c>
      <c r="C36" s="34">
        <v>0.52</v>
      </c>
      <c r="D36" s="34">
        <v>0.45</v>
      </c>
      <c r="E36" s="34">
        <v>0.45</v>
      </c>
      <c r="F36" s="34">
        <v>0.45</v>
      </c>
      <c r="G36" s="34">
        <v>0.45</v>
      </c>
      <c r="H36" s="34">
        <v>0.45</v>
      </c>
      <c r="I36" s="34">
        <v>0.4</v>
      </c>
      <c r="K36" s="129"/>
      <c r="AB36" s="112"/>
    </row>
    <row r="37" spans="1:28" x14ac:dyDescent="0.2">
      <c r="A37" s="130" t="str">
        <f>B31&amp;B37</f>
        <v>Type-specific Incidence of Brain TumorsDiffuse midline glioma (Earlier called as DIPG)</v>
      </c>
      <c r="B37" s="35" t="s">
        <v>226</v>
      </c>
      <c r="C37" s="34">
        <v>3.6999999999999998E-2</v>
      </c>
      <c r="D37" s="34">
        <v>0.02</v>
      </c>
      <c r="E37" s="34">
        <v>0.02</v>
      </c>
      <c r="F37" s="34">
        <v>0.02</v>
      </c>
      <c r="G37" s="34">
        <v>0.02</v>
      </c>
      <c r="H37" s="34">
        <v>0.02</v>
      </c>
      <c r="I37" s="34">
        <v>0.03</v>
      </c>
      <c r="T37" s="114"/>
      <c r="U37" s="142" t="s">
        <v>225</v>
      </c>
      <c r="V37" s="141"/>
      <c r="AB37" s="112"/>
    </row>
    <row r="38" spans="1:28" x14ac:dyDescent="0.2">
      <c r="A38" s="130" t="str">
        <f>B31&amp;B38</f>
        <v>Type-specific Incidence of Brain TumorsOthers</v>
      </c>
      <c r="B38" s="35" t="s">
        <v>224</v>
      </c>
      <c r="C38" s="34">
        <f>100%-SUM(C32:C37)</f>
        <v>8.2999999999999963E-2</v>
      </c>
      <c r="D38" s="34">
        <f>100%-SUM(D32:D37)</f>
        <v>0.18599999999999994</v>
      </c>
      <c r="E38" s="34">
        <f>100%-SUM(E32:E37)</f>
        <v>0.18599999999999994</v>
      </c>
      <c r="F38" s="34">
        <f>100%-SUM(F32:F37)</f>
        <v>0.18599999999999994</v>
      </c>
      <c r="G38" s="34">
        <f>100%-SUM(G32:G37)</f>
        <v>0.18599999999999994</v>
      </c>
      <c r="H38" s="34">
        <f>100%-SUM(H32:H37)</f>
        <v>0.18599999999999994</v>
      </c>
      <c r="I38" s="34">
        <f>100%-SUM(I32:I37)</f>
        <v>0.18599999999999994</v>
      </c>
      <c r="J38" s="131"/>
      <c r="K38" s="140"/>
      <c r="T38" s="114"/>
      <c r="U38" s="139"/>
      <c r="V38" s="138"/>
      <c r="AB38" s="112"/>
    </row>
    <row r="39" spans="1:28" x14ac:dyDescent="0.2">
      <c r="A39" s="12"/>
      <c r="B39" s="128"/>
      <c r="C39" s="128"/>
      <c r="D39" s="128"/>
      <c r="E39" s="128"/>
      <c r="F39" s="128"/>
      <c r="G39" s="128"/>
      <c r="H39" s="128"/>
      <c r="I39" s="128"/>
      <c r="J39" s="128"/>
      <c r="M39" s="137"/>
      <c r="N39" s="137"/>
      <c r="O39" s="137"/>
      <c r="P39" s="137"/>
      <c r="Q39" s="137"/>
      <c r="R39" s="137"/>
      <c r="S39" s="137"/>
      <c r="T39" s="126"/>
      <c r="U39" s="119"/>
      <c r="V39" s="125"/>
      <c r="AB39" s="112"/>
    </row>
    <row r="40" spans="1:28" ht="14.5" customHeight="1" x14ac:dyDescent="0.2">
      <c r="A40" s="130"/>
      <c r="B40" s="124" t="s">
        <v>223</v>
      </c>
      <c r="C40" s="132" t="s">
        <v>211</v>
      </c>
      <c r="D40" s="132" t="s">
        <v>5</v>
      </c>
      <c r="E40" s="132" t="s">
        <v>4</v>
      </c>
      <c r="F40" s="132" t="s">
        <v>3</v>
      </c>
      <c r="G40" s="132" t="s">
        <v>2</v>
      </c>
      <c r="H40" s="132" t="s">
        <v>1</v>
      </c>
      <c r="I40" s="132" t="s">
        <v>0</v>
      </c>
      <c r="J40" s="128"/>
      <c r="T40" s="114"/>
      <c r="U40" s="135" t="s">
        <v>222</v>
      </c>
      <c r="V40" s="134" t="s">
        <v>221</v>
      </c>
      <c r="AB40" s="112"/>
    </row>
    <row r="41" spans="1:28" ht="14.5" customHeight="1" x14ac:dyDescent="0.2">
      <c r="A41" s="130" t="str">
        <f>B40&amp;B41</f>
        <v>Incidence of H3K27 Mutation in High Grade GliomasH3K27 Mutated HGG Cases</v>
      </c>
      <c r="B41" s="35" t="s">
        <v>220</v>
      </c>
      <c r="C41" s="34">
        <v>0.7</v>
      </c>
      <c r="D41" s="34">
        <v>0.7</v>
      </c>
      <c r="E41" s="34">
        <v>0.7</v>
      </c>
      <c r="F41" s="34">
        <v>0.7</v>
      </c>
      <c r="G41" s="34">
        <v>0.7</v>
      </c>
      <c r="H41" s="34">
        <v>0.7</v>
      </c>
      <c r="I41" s="34">
        <v>0.7</v>
      </c>
      <c r="J41" s="136"/>
      <c r="T41" s="114"/>
      <c r="U41" s="135" t="s">
        <v>219</v>
      </c>
      <c r="V41" s="134" t="s">
        <v>218</v>
      </c>
      <c r="AB41" s="112"/>
    </row>
    <row r="42" spans="1:28" x14ac:dyDescent="0.2">
      <c r="A42" s="12"/>
      <c r="B42" s="128"/>
      <c r="C42" s="128"/>
      <c r="D42" s="128"/>
      <c r="E42" s="128"/>
      <c r="F42" s="128"/>
      <c r="G42" s="128"/>
      <c r="H42" s="128"/>
      <c r="I42" s="128"/>
      <c r="J42" s="128"/>
      <c r="T42" s="126"/>
      <c r="U42" s="119"/>
      <c r="V42" s="125"/>
      <c r="AB42" s="112"/>
    </row>
    <row r="43" spans="1:28" x14ac:dyDescent="0.2">
      <c r="A43" s="12"/>
      <c r="B43" s="124" t="s">
        <v>217</v>
      </c>
      <c r="C43" s="132" t="s">
        <v>211</v>
      </c>
      <c r="D43" s="132" t="s">
        <v>5</v>
      </c>
      <c r="E43" s="132" t="s">
        <v>4</v>
      </c>
      <c r="F43" s="132" t="s">
        <v>3</v>
      </c>
      <c r="G43" s="132" t="s">
        <v>2</v>
      </c>
      <c r="H43" s="132" t="s">
        <v>1</v>
      </c>
      <c r="I43" s="132" t="s">
        <v>0</v>
      </c>
      <c r="J43" s="131"/>
      <c r="T43" s="126"/>
      <c r="U43" s="119"/>
      <c r="V43" s="125"/>
      <c r="AB43" s="112"/>
    </row>
    <row r="44" spans="1:28" x14ac:dyDescent="0.2">
      <c r="A44" s="130" t="str">
        <f>B43&amp;B44</f>
        <v>Gender-specific Brain Tumor casesMale</v>
      </c>
      <c r="B44" s="35" t="s">
        <v>216</v>
      </c>
      <c r="C44" s="34">
        <v>0.58699999999999997</v>
      </c>
      <c r="D44" s="34">
        <v>0.52370000000000005</v>
      </c>
      <c r="E44" s="34">
        <v>0.55020283975659234</v>
      </c>
      <c r="F44" s="34">
        <v>0.5311120032115616</v>
      </c>
      <c r="G44" s="34">
        <v>0.53553441522104084</v>
      </c>
      <c r="H44" s="34">
        <v>0.58699999999999997</v>
      </c>
      <c r="I44" s="34">
        <v>0.53590000000000004</v>
      </c>
      <c r="T44" s="114">
        <v>0</v>
      </c>
      <c r="U44" s="121" t="s">
        <v>215</v>
      </c>
      <c r="V44" s="120" t="s">
        <v>214</v>
      </c>
      <c r="AB44" s="112"/>
    </row>
    <row r="45" spans="1:28" x14ac:dyDescent="0.2">
      <c r="A45" s="130" t="str">
        <f>B43&amp;B45</f>
        <v>Gender-specific Brain Tumor casesFemale</v>
      </c>
      <c r="B45" s="35" t="s">
        <v>213</v>
      </c>
      <c r="C45" s="34">
        <v>0.41299999999999998</v>
      </c>
      <c r="D45" s="34">
        <f>100%-D44</f>
        <v>0.47629999999999995</v>
      </c>
      <c r="E45" s="34">
        <f>100%-E44</f>
        <v>0.44979716024340766</v>
      </c>
      <c r="F45" s="34">
        <f>100%-F44</f>
        <v>0.4688879967884384</v>
      </c>
      <c r="G45" s="34">
        <f>100%-G44</f>
        <v>0.46446558477895916</v>
      </c>
      <c r="H45" s="34">
        <v>0.41299999999999998</v>
      </c>
      <c r="I45" s="34">
        <v>0.46410000000000001</v>
      </c>
      <c r="T45" s="126"/>
      <c r="U45" s="133"/>
      <c r="V45" s="125"/>
      <c r="AB45" s="112"/>
    </row>
    <row r="46" spans="1:28" x14ac:dyDescent="0.2">
      <c r="A46" s="12"/>
      <c r="B46" s="128"/>
      <c r="C46" s="127"/>
      <c r="D46" s="127"/>
      <c r="E46" s="127"/>
      <c r="F46" s="127"/>
      <c r="G46" s="127"/>
      <c r="H46" s="127"/>
      <c r="I46" s="127"/>
      <c r="T46" s="126"/>
      <c r="U46" s="133"/>
      <c r="V46" s="125"/>
      <c r="AB46" s="112"/>
    </row>
    <row r="47" spans="1:28" x14ac:dyDescent="0.2">
      <c r="A47" s="12"/>
      <c r="B47" s="124" t="s">
        <v>212</v>
      </c>
      <c r="C47" s="132" t="s">
        <v>211</v>
      </c>
      <c r="D47" s="132" t="s">
        <v>5</v>
      </c>
      <c r="E47" s="132" t="s">
        <v>4</v>
      </c>
      <c r="F47" s="132" t="s">
        <v>3</v>
      </c>
      <c r="G47" s="132" t="s">
        <v>2</v>
      </c>
      <c r="H47" s="132" t="s">
        <v>1</v>
      </c>
      <c r="I47" s="132" t="s">
        <v>0</v>
      </c>
      <c r="J47" s="131"/>
      <c r="T47" s="126"/>
      <c r="U47" s="119"/>
      <c r="V47" s="125"/>
      <c r="AB47" s="112"/>
    </row>
    <row r="48" spans="1:28" x14ac:dyDescent="0.2">
      <c r="A48" s="130" t="str">
        <f>B47&amp;B48</f>
        <v>Age-specific Brain Tumor cases0-39</v>
      </c>
      <c r="B48" s="35" t="s">
        <v>210</v>
      </c>
      <c r="C48" s="34">
        <v>0.17</v>
      </c>
      <c r="D48" s="34">
        <v>0.17</v>
      </c>
      <c r="E48" s="34">
        <v>0.17</v>
      </c>
      <c r="F48" s="34">
        <v>0.17</v>
      </c>
      <c r="G48" s="34">
        <v>0.17</v>
      </c>
      <c r="H48" s="34">
        <v>0.17</v>
      </c>
      <c r="I48" s="34">
        <v>0.17</v>
      </c>
      <c r="T48" s="114"/>
      <c r="U48" s="121" t="s">
        <v>209</v>
      </c>
      <c r="V48" s="120"/>
      <c r="AB48" s="112"/>
    </row>
    <row r="49" spans="1:28" x14ac:dyDescent="0.2">
      <c r="A49" s="130" t="str">
        <f>B47&amp;B49</f>
        <v>Age-specific Brain Tumor cases40-64</v>
      </c>
      <c r="B49" s="35" t="s">
        <v>208</v>
      </c>
      <c r="C49" s="34">
        <v>0.44</v>
      </c>
      <c r="D49" s="34">
        <v>0.44</v>
      </c>
      <c r="E49" s="34">
        <v>0.44</v>
      </c>
      <c r="F49" s="34">
        <v>0.44</v>
      </c>
      <c r="G49" s="34">
        <v>0.44</v>
      </c>
      <c r="H49" s="34">
        <v>0.44</v>
      </c>
      <c r="I49" s="34">
        <v>0.44</v>
      </c>
      <c r="T49" s="126"/>
      <c r="U49" s="119"/>
      <c r="V49" s="125"/>
      <c r="AB49" s="112"/>
    </row>
    <row r="50" spans="1:28" x14ac:dyDescent="0.2">
      <c r="A50" s="130" t="str">
        <f>B47&amp;B50</f>
        <v>Age-specific Brain Tumor cases≥65</v>
      </c>
      <c r="B50" s="35" t="s">
        <v>207</v>
      </c>
      <c r="C50" s="34">
        <v>0.39</v>
      </c>
      <c r="D50" s="34">
        <v>0.39</v>
      </c>
      <c r="E50" s="34">
        <v>0.39</v>
      </c>
      <c r="F50" s="34">
        <v>0.39</v>
      </c>
      <c r="G50" s="34">
        <v>0.39</v>
      </c>
      <c r="H50" s="34">
        <v>0.39</v>
      </c>
      <c r="I50" s="34">
        <v>0.39</v>
      </c>
      <c r="J50" s="129"/>
      <c r="T50" s="126"/>
      <c r="U50" s="119"/>
      <c r="V50" s="125"/>
      <c r="AB50" s="112"/>
    </row>
    <row r="51" spans="1:28" x14ac:dyDescent="0.2">
      <c r="A51" s="12"/>
      <c r="B51" s="128"/>
      <c r="C51" s="127"/>
      <c r="D51" s="127"/>
      <c r="E51" s="127"/>
      <c r="F51" s="127"/>
      <c r="G51" s="127"/>
      <c r="H51" s="127"/>
      <c r="I51" s="127"/>
      <c r="T51" s="126"/>
      <c r="U51" s="119"/>
      <c r="V51" s="125"/>
      <c r="AB51" s="112"/>
    </row>
    <row r="52" spans="1:28" x14ac:dyDescent="0.2">
      <c r="A52" s="12" t="str">
        <f>B52</f>
        <v>Unmethylation of the MGMT gene promoter</v>
      </c>
      <c r="B52" s="124" t="s">
        <v>206</v>
      </c>
      <c r="C52" s="123">
        <v>0.66</v>
      </c>
      <c r="D52" s="123">
        <v>0.66</v>
      </c>
      <c r="E52" s="123">
        <v>0.66</v>
      </c>
      <c r="F52" s="123">
        <v>0.66</v>
      </c>
      <c r="G52" s="123">
        <v>0.66</v>
      </c>
      <c r="H52" s="123">
        <v>0.66</v>
      </c>
      <c r="I52" s="123">
        <v>0.66</v>
      </c>
      <c r="J52" s="122"/>
      <c r="T52" s="114">
        <v>0</v>
      </c>
      <c r="U52" s="121" t="s">
        <v>205</v>
      </c>
      <c r="V52" s="120" t="s">
        <v>204</v>
      </c>
    </row>
    <row r="53" spans="1:28" x14ac:dyDescent="0.2">
      <c r="A53" s="12"/>
      <c r="B53" s="15"/>
      <c r="T53" s="119"/>
    </row>
    <row r="54" spans="1:28" x14ac:dyDescent="0.2">
      <c r="A54" s="12" t="str">
        <f>B54</f>
        <v>Treatment Rate (First Line)</v>
      </c>
      <c r="B54" s="116" t="s">
        <v>203</v>
      </c>
      <c r="C54" s="110">
        <v>0.95</v>
      </c>
      <c r="D54" s="110">
        <v>0.95</v>
      </c>
      <c r="E54" s="110">
        <v>0.95</v>
      </c>
      <c r="F54" s="110">
        <v>0.95</v>
      </c>
      <c r="G54" s="110">
        <v>0.95</v>
      </c>
      <c r="H54" s="110">
        <v>0.95</v>
      </c>
      <c r="I54" s="110">
        <v>0.95</v>
      </c>
      <c r="J54" s="110">
        <v>0.95</v>
      </c>
      <c r="K54" s="110">
        <v>0.95</v>
      </c>
      <c r="L54" s="110">
        <v>0.95</v>
      </c>
      <c r="M54" s="110">
        <v>0.95</v>
      </c>
      <c r="N54" s="110">
        <v>0.95</v>
      </c>
      <c r="O54" s="110">
        <v>0.95</v>
      </c>
      <c r="P54" s="110">
        <v>0.95</v>
      </c>
    </row>
    <row r="55" spans="1:28" x14ac:dyDescent="0.2">
      <c r="A55" s="111" t="str">
        <f>B55</f>
        <v>Recurrence Rate</v>
      </c>
      <c r="B55" s="118" t="s">
        <v>202</v>
      </c>
      <c r="C55" s="110">
        <v>0.9</v>
      </c>
      <c r="D55" s="110">
        <v>0.88276840501497345</v>
      </c>
      <c r="E55" s="110">
        <v>0.86586672988075586</v>
      </c>
      <c r="F55" s="110">
        <v>0.84928865788040642</v>
      </c>
      <c r="G55" s="110">
        <v>0.8330279932382153</v>
      </c>
      <c r="H55" s="110">
        <v>0.8170786588041371</v>
      </c>
      <c r="I55" s="110">
        <v>0.80143469378255772</v>
      </c>
      <c r="J55" s="110">
        <v>0.78609025150454681</v>
      </c>
      <c r="K55" s="110">
        <v>0.77103959724276461</v>
      </c>
      <c r="L55" s="110">
        <v>0.7562771060682032</v>
      </c>
      <c r="M55" s="110">
        <v>0.74179726074796404</v>
      </c>
      <c r="N55" s="110">
        <v>0.72759464968328513</v>
      </c>
      <c r="O55" s="110">
        <v>0.71366396488704664</v>
      </c>
      <c r="P55" s="110">
        <v>0.70000000000000029</v>
      </c>
      <c r="T55" s="114">
        <v>0</v>
      </c>
      <c r="U55" s="117" t="s">
        <v>201</v>
      </c>
      <c r="V55" s="17" t="s">
        <v>200</v>
      </c>
    </row>
    <row r="56" spans="1:28" x14ac:dyDescent="0.2">
      <c r="A56" s="12" t="str">
        <f>B56</f>
        <v>Treatment Rate (Second Line)</v>
      </c>
      <c r="B56" s="116" t="s">
        <v>199</v>
      </c>
      <c r="C56" s="110">
        <v>0.32</v>
      </c>
      <c r="D56" s="110">
        <v>0.32</v>
      </c>
      <c r="E56" s="110">
        <v>0.32</v>
      </c>
      <c r="F56" s="110">
        <v>0.32</v>
      </c>
      <c r="G56" s="110">
        <v>0.32</v>
      </c>
      <c r="H56" s="110">
        <v>0.32</v>
      </c>
      <c r="I56" s="110">
        <v>0.32</v>
      </c>
      <c r="J56" s="110">
        <v>0.32</v>
      </c>
      <c r="K56" s="110">
        <v>0.32</v>
      </c>
      <c r="L56" s="110">
        <v>0.32</v>
      </c>
      <c r="M56" s="110">
        <v>0.32</v>
      </c>
      <c r="N56" s="110">
        <v>0.32</v>
      </c>
      <c r="O56" s="110">
        <v>0.32</v>
      </c>
      <c r="P56" s="110">
        <v>0.32</v>
      </c>
    </row>
    <row r="57" spans="1:28" x14ac:dyDescent="0.2">
      <c r="A57" s="12" t="str">
        <f>B57</f>
        <v>Treatment Rate (Third Line)</v>
      </c>
      <c r="B57" s="116" t="s">
        <v>198</v>
      </c>
      <c r="C57" s="110">
        <v>0.25</v>
      </c>
      <c r="D57" s="110">
        <v>0.25</v>
      </c>
      <c r="E57" s="110">
        <v>0.25</v>
      </c>
      <c r="F57" s="110">
        <v>0.25</v>
      </c>
      <c r="G57" s="110">
        <v>0.25</v>
      </c>
      <c r="H57" s="110">
        <v>0.25</v>
      </c>
      <c r="I57" s="110">
        <v>0.25</v>
      </c>
      <c r="J57" s="110">
        <v>0.25</v>
      </c>
      <c r="K57" s="110">
        <v>0.25</v>
      </c>
      <c r="L57" s="110">
        <v>0.25</v>
      </c>
      <c r="M57" s="110">
        <v>0.25</v>
      </c>
      <c r="N57" s="110">
        <v>0.25</v>
      </c>
      <c r="O57" s="110">
        <v>0.25</v>
      </c>
      <c r="P57" s="110">
        <v>0.25</v>
      </c>
    </row>
    <row r="58" spans="1:28" x14ac:dyDescent="0.2">
      <c r="A58" s="12"/>
      <c r="B58" s="15"/>
      <c r="C58" s="115"/>
    </row>
    <row r="59" spans="1:28" x14ac:dyDescent="0.2">
      <c r="A59" s="111" t="str">
        <f>B59</f>
        <v>Compliance (%)</v>
      </c>
      <c r="B59" s="35" t="s">
        <v>197</v>
      </c>
      <c r="C59" s="110">
        <v>0.85</v>
      </c>
      <c r="D59" s="110">
        <v>0.85</v>
      </c>
      <c r="E59" s="110">
        <v>0.85</v>
      </c>
      <c r="F59" s="110">
        <v>0.85</v>
      </c>
      <c r="G59" s="110">
        <v>0.85</v>
      </c>
      <c r="H59" s="110">
        <v>0.85</v>
      </c>
      <c r="I59" s="110">
        <v>0.85</v>
      </c>
      <c r="J59" s="110">
        <v>0.85</v>
      </c>
      <c r="K59" s="110">
        <v>0.85</v>
      </c>
      <c r="L59" s="110">
        <v>0.85</v>
      </c>
      <c r="M59" s="110">
        <v>0.85</v>
      </c>
      <c r="N59" s="110">
        <v>0.85</v>
      </c>
      <c r="O59" s="110">
        <v>0.85</v>
      </c>
      <c r="P59" s="110">
        <v>0.85</v>
      </c>
      <c r="T59" s="114">
        <v>0</v>
      </c>
      <c r="U59" s="17" t="s">
        <v>6</v>
      </c>
      <c r="V59" s="113"/>
      <c r="AB59" s="112"/>
    </row>
    <row r="60" spans="1:28" x14ac:dyDescent="0.2">
      <c r="A60" s="111" t="str">
        <f>B60</f>
        <v>Market Access (%)</v>
      </c>
      <c r="B60" s="35" t="s">
        <v>196</v>
      </c>
      <c r="C60" s="110">
        <v>0.85</v>
      </c>
      <c r="D60" s="110">
        <v>0.85</v>
      </c>
      <c r="E60" s="110">
        <v>0.85</v>
      </c>
      <c r="F60" s="110">
        <v>0.85</v>
      </c>
      <c r="G60" s="110">
        <v>0.85</v>
      </c>
      <c r="H60" s="110">
        <v>0.85</v>
      </c>
      <c r="I60" s="110">
        <v>0.85</v>
      </c>
      <c r="J60" s="110">
        <v>0.85</v>
      </c>
      <c r="K60" s="110">
        <v>0.85</v>
      </c>
      <c r="L60" s="110">
        <v>0.85</v>
      </c>
      <c r="M60" s="110">
        <v>0.85</v>
      </c>
      <c r="N60" s="110">
        <v>0.85</v>
      </c>
      <c r="O60" s="110">
        <v>0.85</v>
      </c>
      <c r="P60" s="110">
        <v>0.85</v>
      </c>
    </row>
    <row r="61" spans="1:28" x14ac:dyDescent="0.2">
      <c r="A61" s="12"/>
    </row>
    <row r="62" spans="1:28" x14ac:dyDescent="0.2">
      <c r="A62" s="104"/>
      <c r="B62" s="103" t="s">
        <v>195</v>
      </c>
    </row>
    <row r="63" spans="1:28" ht="14.25" customHeight="1" x14ac:dyDescent="0.2">
      <c r="A63" s="12" t="str">
        <f>B63</f>
        <v>First line of treatment</v>
      </c>
      <c r="B63" s="24" t="s">
        <v>184</v>
      </c>
      <c r="C63" s="109">
        <f>SUM(C64:C66,C142,C143,C145,C147,C148,C151,C152,C154,C155)</f>
        <v>1</v>
      </c>
      <c r="D63" s="109">
        <f>SUM(D64:D66,D142,D143,D145,D147,D148,D151,D152,D154,D155)</f>
        <v>1</v>
      </c>
      <c r="E63" s="109">
        <f>SUM(E64:E66,E142,E143,E145,E147,E148,E151,E152,E154,E155)</f>
        <v>1</v>
      </c>
      <c r="F63" s="109">
        <f>SUM(F64:F66,F142,F143,F145,F147,F148,F151,F152,F154,F155)</f>
        <v>1</v>
      </c>
      <c r="G63" s="109">
        <f>SUM(G64:G66,G142,G143,G145,G147,G148,G151,G152,G154,G155)</f>
        <v>1</v>
      </c>
      <c r="H63" s="109">
        <f>SUM(H64:H66,H142,H143,H145,H147,H148,H151,H152,H154,H155)</f>
        <v>0.99996401406500857</v>
      </c>
      <c r="I63" s="109">
        <f>SUM(I64:I66,I142,I143,I145,I147,I148,I151,I152,I154,I155)</f>
        <v>1.0014078594187765</v>
      </c>
      <c r="J63" s="109">
        <f>SUM(J64:J66,J142,J143,J145,J147,J148,J151,J152,J154,J155)</f>
        <v>1.0012718733720811</v>
      </c>
      <c r="K63" s="109">
        <f>SUM(K64:K66,K142,K143,K145,K147,K148,K151,K152,K154,K155)</f>
        <v>0.99959790858995379</v>
      </c>
      <c r="L63" s="109">
        <f>SUM(L64:L66,L142,L143,L145,L147,L148,L151,L152,L154,L155)</f>
        <v>0.99994249379197919</v>
      </c>
      <c r="M63" s="109">
        <f>SUM(M64:M66,M142,M143,M145,M147,M148,M151,M152,M154,M155)</f>
        <v>1.0000280596493849</v>
      </c>
      <c r="N63" s="109">
        <f>SUM(N64:N66,N142,N143,N145,N147,N148,N151,N152,N154,N155)</f>
        <v>1.0010626007471195</v>
      </c>
      <c r="O63" s="109">
        <f>SUM(O64:O66,O142,O143,O145,O147,O148,O151,O152,O154,O155)</f>
        <v>1.0006161132014255</v>
      </c>
      <c r="P63" s="109">
        <f>SUM(P64:P66,P142,P143,P145,P147,P148,P151,P152,P154,P155)</f>
        <v>1.0004439098935067</v>
      </c>
      <c r="U63" s="107" t="s">
        <v>194</v>
      </c>
      <c r="V63" s="20" t="s">
        <v>183</v>
      </c>
    </row>
    <row r="64" spans="1:28" ht="14.25" customHeight="1" x14ac:dyDescent="0.2">
      <c r="A64" s="12" t="str">
        <f>$B$62&amp;B63&amp;B64</f>
        <v>Patient share - USAFirst line of treatmentSurgery ± Radiation Therapy/ Chemotherapy</v>
      </c>
      <c r="B64" s="25" t="s">
        <v>182</v>
      </c>
      <c r="C64" s="98">
        <v>0.115</v>
      </c>
      <c r="D64" s="98">
        <v>0.115</v>
      </c>
      <c r="E64" s="98">
        <v>0.115</v>
      </c>
      <c r="F64" s="98">
        <v>0.115</v>
      </c>
      <c r="G64" s="98">
        <v>0.115</v>
      </c>
      <c r="H64" s="98">
        <v>0.115</v>
      </c>
      <c r="I64" s="98">
        <v>0.115</v>
      </c>
      <c r="J64" s="98">
        <f>I64*(1-1.75%)</f>
        <v>0.1129875</v>
      </c>
      <c r="K64" s="98">
        <f>J64*(1-5.5%)</f>
        <v>0.10677318750000001</v>
      </c>
      <c r="L64" s="98">
        <f>K64*(1-5.75%)</f>
        <v>0.10063372921875001</v>
      </c>
      <c r="M64" s="98">
        <f>L64*(1-5.75%)</f>
        <v>9.4847289788671879E-2</v>
      </c>
      <c r="N64" s="98">
        <f>M64*(1-10.75%)</f>
        <v>8.4651206136389642E-2</v>
      </c>
      <c r="O64" s="98">
        <f>N64*(1-7.5%)</f>
        <v>7.8302365676160418E-2</v>
      </c>
      <c r="P64" s="98">
        <f>O64*(1-5.5%)</f>
        <v>7.3995735563971585E-2</v>
      </c>
      <c r="U64" s="107"/>
      <c r="V64" s="20"/>
    </row>
    <row r="65" spans="1:22" ht="14.25" customHeight="1" x14ac:dyDescent="0.2">
      <c r="A65" s="12" t="str">
        <f>$B$62&amp;B63&amp;B65</f>
        <v>Patient share - USAFirst line of treatmentTemozolomide+Radiation Therapy (RT) or Radiation Alone- Maintanance therapy</v>
      </c>
      <c r="B65" s="25" t="s">
        <v>35</v>
      </c>
      <c r="C65" s="98">
        <v>0.87</v>
      </c>
      <c r="D65" s="98">
        <v>0.87</v>
      </c>
      <c r="E65" s="98">
        <v>0.87</v>
      </c>
      <c r="F65" s="98">
        <v>0.87</v>
      </c>
      <c r="G65" s="98">
        <v>0.87</v>
      </c>
      <c r="H65" s="98">
        <f>G65*(1-0.2%)</f>
        <v>0.86826000000000003</v>
      </c>
      <c r="I65" s="98">
        <f>H65*(1-1%)</f>
        <v>0.85957740000000005</v>
      </c>
      <c r="J65" s="98">
        <f>I65*(1-3.75%)</f>
        <v>0.8273432475000001</v>
      </c>
      <c r="K65" s="98">
        <f>J65*(1-7.75%)</f>
        <v>0.76322414581875009</v>
      </c>
      <c r="L65" s="98">
        <f>K65*(1-11.75%)</f>
        <v>0.67354530868504703</v>
      </c>
      <c r="M65" s="98">
        <f>L65*(1-15.5%)</f>
        <v>0.56914578583886477</v>
      </c>
      <c r="N65" s="98">
        <f>M65*(1-12.75%)</f>
        <v>0.49657969814440955</v>
      </c>
      <c r="O65" s="98">
        <f>N65*(1-8%)</f>
        <v>0.4568533222928568</v>
      </c>
      <c r="P65" s="98">
        <f>O65*(1-4%)</f>
        <v>0.43857918940114249</v>
      </c>
      <c r="U65" s="20"/>
      <c r="V65" s="20"/>
    </row>
    <row r="66" spans="1:22" ht="14.25" customHeight="1" x14ac:dyDescent="0.2">
      <c r="A66" s="12" t="str">
        <f>$B$62&amp;B63&amp;B66</f>
        <v>Patient share - USAFirst line of treatmentTemozolomide monotherapy</v>
      </c>
      <c r="B66" s="25" t="s">
        <v>34</v>
      </c>
      <c r="C66" s="98">
        <v>1.4999999999999999E-2</v>
      </c>
      <c r="D66" s="98">
        <f>C66</f>
        <v>1.4999999999999999E-2</v>
      </c>
      <c r="E66" s="98">
        <f>D66</f>
        <v>1.4999999999999999E-2</v>
      </c>
      <c r="F66" s="98">
        <f>E66</f>
        <v>1.4999999999999999E-2</v>
      </c>
      <c r="G66" s="98">
        <f>F66</f>
        <v>1.4999999999999999E-2</v>
      </c>
      <c r="H66" s="98">
        <f>G66</f>
        <v>1.4999999999999999E-2</v>
      </c>
      <c r="I66" s="98">
        <f>H66</f>
        <v>1.4999999999999999E-2</v>
      </c>
      <c r="J66" s="98">
        <f>I66</f>
        <v>1.4999999999999999E-2</v>
      </c>
      <c r="K66" s="98">
        <f>J66</f>
        <v>1.4999999999999999E-2</v>
      </c>
      <c r="L66" s="98">
        <f>K66</f>
        <v>1.4999999999999999E-2</v>
      </c>
      <c r="M66" s="98">
        <f>L66</f>
        <v>1.4999999999999999E-2</v>
      </c>
      <c r="N66" s="98">
        <f>M66</f>
        <v>1.4999999999999999E-2</v>
      </c>
      <c r="O66" s="98">
        <f>N66</f>
        <v>1.4999999999999999E-2</v>
      </c>
      <c r="P66" s="98">
        <f>O66</f>
        <v>1.4999999999999999E-2</v>
      </c>
      <c r="U66" s="20"/>
      <c r="V66" s="20"/>
    </row>
    <row r="67" spans="1:22" ht="14.25" customHeight="1" x14ac:dyDescent="0.2">
      <c r="A67" s="12" t="str">
        <f>B67</f>
        <v>Second line of treatment</v>
      </c>
      <c r="B67" s="24" t="s">
        <v>33</v>
      </c>
      <c r="C67" s="109">
        <f>SUM(C68:C69,C75:C76,C142:C158)</f>
        <v>1</v>
      </c>
      <c r="D67" s="109">
        <f>SUM(D68:D69,D75:D76,D142:D158)</f>
        <v>1</v>
      </c>
      <c r="E67" s="109">
        <f>SUM(E68:E69,E75:E76,E142:E158)</f>
        <v>1</v>
      </c>
      <c r="F67" s="109">
        <f>SUM(F68:F69,F75:F76,F142:F158)</f>
        <v>1</v>
      </c>
      <c r="G67" s="109">
        <f>SUM(G68:G69,G75:G76,G142:G158)</f>
        <v>1.0001469648371843</v>
      </c>
      <c r="H67" s="109">
        <f>SUM(H68:H69,H75:H76,H142:H158)</f>
        <v>1.0012204349770386</v>
      </c>
      <c r="I67" s="109">
        <f>SUM(I68:I69,I75:I76,I142:I158)</f>
        <v>1.000978941865619</v>
      </c>
      <c r="J67" s="109">
        <f>SUM(J68:J69,J75:J76,J142:J158)</f>
        <v>1.0005619108910662</v>
      </c>
      <c r="K67" s="109">
        <f>SUM(K68:K69,K75:K76,K142:K158)</f>
        <v>1.001342926862054</v>
      </c>
      <c r="L67" s="109">
        <f>SUM(L68:L69,L75:L76,L142:L158)</f>
        <v>1.0011893909990652</v>
      </c>
      <c r="M67" s="109">
        <f>SUM(M68:M69,M75:M76,M142:M158)</f>
        <v>0.99967616560651051</v>
      </c>
      <c r="N67" s="109">
        <f>SUM(N68:N69,N75:N76,N142:N158)</f>
        <v>1.0000277184683495</v>
      </c>
      <c r="O67" s="109">
        <f>SUM(O68:O69,O75:O76,O142:O158)</f>
        <v>1.0005253824783653</v>
      </c>
      <c r="P67" s="109">
        <f>SUM(P68:P69,P75:P76,P142:P158)</f>
        <v>0.99950607406658365</v>
      </c>
      <c r="U67" s="20"/>
      <c r="V67" s="20"/>
    </row>
    <row r="68" spans="1:22" x14ac:dyDescent="0.2">
      <c r="A68" s="12" t="str">
        <f>$B$62&amp;$B$67&amp;B68</f>
        <v>Patient share - USASecond line of treatmentBevacizumab monotherapy</v>
      </c>
      <c r="B68" s="22" t="s">
        <v>32</v>
      </c>
      <c r="C68" s="98">
        <v>0.45</v>
      </c>
      <c r="D68" s="98">
        <v>0.45</v>
      </c>
      <c r="E68" s="98">
        <v>0.45</v>
      </c>
      <c r="F68" s="98">
        <v>0.45</v>
      </c>
      <c r="G68" s="98">
        <f>F68*(1-0.5%)</f>
        <v>0.44774999999999998</v>
      </c>
      <c r="H68" s="98">
        <f>G68*(1-2.25%)</f>
        <v>0.43767562500000001</v>
      </c>
      <c r="I68" s="98">
        <f>H68*(1-5.5%)</f>
        <v>0.413603465625</v>
      </c>
      <c r="J68" s="98">
        <f>I68*(1-9.5%)</f>
        <v>0.37431113639062502</v>
      </c>
      <c r="K68" s="98">
        <f>J68*(1-18.75%)</f>
        <v>0.30412779831738285</v>
      </c>
      <c r="L68" s="98">
        <f>K68*(1-25.75%)</f>
        <v>0.22581489025065674</v>
      </c>
      <c r="M68" s="98">
        <f>L68*(1-34.75%)</f>
        <v>0.14734421588855354</v>
      </c>
      <c r="N68" s="98">
        <f>M68*(1-39.75%)</f>
        <v>8.877489007285351E-2</v>
      </c>
      <c r="O68" s="98">
        <f>N68*(1-34.75%)</f>
        <v>5.7925615772536923E-2</v>
      </c>
      <c r="P68" s="98">
        <f>O68*(1-32.5%)</f>
        <v>3.9099790646462428E-2</v>
      </c>
      <c r="U68" s="20"/>
      <c r="V68" s="20"/>
    </row>
    <row r="69" spans="1:22" ht="15" customHeight="1" x14ac:dyDescent="0.2">
      <c r="A69" s="12" t="str">
        <f>$B$62&amp;$B$67&amp;B69</f>
        <v>Patient share - USASecond line of treatmentBevacizumab Combination therapy</v>
      </c>
      <c r="B69" s="22" t="s">
        <v>31</v>
      </c>
      <c r="C69" s="98">
        <v>0.23400000000000001</v>
      </c>
      <c r="D69" s="98">
        <v>0.23400000000000001</v>
      </c>
      <c r="E69" s="98">
        <v>0.23400000000000001</v>
      </c>
      <c r="F69" s="98">
        <v>0.23400000000000001</v>
      </c>
      <c r="G69" s="98">
        <f>F69*(1-1.25%)</f>
        <v>0.23107500000000003</v>
      </c>
      <c r="H69" s="98">
        <f>G69*(1-2.5%)</f>
        <v>0.22529812500000002</v>
      </c>
      <c r="I69" s="98">
        <f>H69*(1-4.5%)</f>
        <v>0.21515970937500001</v>
      </c>
      <c r="J69" s="98">
        <f>I69*(1-9.5%)</f>
        <v>0.19471953698437502</v>
      </c>
      <c r="K69" s="98">
        <f>J69*(1-18.5%)</f>
        <v>0.15869642264226563</v>
      </c>
      <c r="L69" s="98">
        <f>K69*(1-25.75%)</f>
        <v>0.11783209381188223</v>
      </c>
      <c r="M69" s="98">
        <f>L69*(1-34.75%)</f>
        <v>7.6885441212253158E-2</v>
      </c>
      <c r="N69" s="98">
        <f>M69*(1-39.75%)</f>
        <v>4.6323478330382528E-2</v>
      </c>
      <c r="O69" s="98">
        <f>N69*(1-34.75%)</f>
        <v>3.0226069610574603E-2</v>
      </c>
      <c r="P69" s="98">
        <f>O69*(1-32.5%)</f>
        <v>2.040259698713786E-2</v>
      </c>
      <c r="U69" s="20"/>
      <c r="V69" s="20"/>
    </row>
    <row r="70" spans="1:22" ht="15" hidden="1" customHeight="1" outlineLevel="1" x14ac:dyDescent="0.2">
      <c r="A70" s="12" t="str">
        <f>$B$62&amp;$B$67&amp;B70</f>
        <v>Patient share - USASecond line of treatmentBevacizumab +TMZ</v>
      </c>
      <c r="B70" s="99" t="s">
        <v>193</v>
      </c>
      <c r="C70" s="108">
        <v>0.45300000000000001</v>
      </c>
      <c r="D70" s="108">
        <v>0.45300000000000001</v>
      </c>
      <c r="E70" s="108">
        <v>0.45300000000000001</v>
      </c>
      <c r="F70" s="108">
        <v>0.45300000000000001</v>
      </c>
      <c r="G70" s="108">
        <v>0.45300000000000001</v>
      </c>
      <c r="H70" s="108">
        <v>0.45300000000000001</v>
      </c>
      <c r="I70" s="108">
        <v>0.45300000000000001</v>
      </c>
      <c r="J70" s="108">
        <v>0.45300000000000001</v>
      </c>
      <c r="K70" s="108">
        <v>0.45300000000000001</v>
      </c>
      <c r="L70" s="108">
        <v>0.45300000000000001</v>
      </c>
      <c r="M70" s="108">
        <v>0.45300000000000001</v>
      </c>
      <c r="N70" s="108">
        <v>0.45300000000000001</v>
      </c>
      <c r="O70" s="108">
        <v>0.45300000000000001</v>
      </c>
      <c r="P70" s="108">
        <v>0.45300000000000001</v>
      </c>
      <c r="U70" s="20"/>
      <c r="V70" s="20"/>
    </row>
    <row r="71" spans="1:22" ht="15" hidden="1" customHeight="1" outlineLevel="1" x14ac:dyDescent="0.2">
      <c r="A71" s="12" t="str">
        <f>$B$62&amp;$B$67&amp;B71</f>
        <v>Patient share - USASecond line of treatmentBevacizumab + irinotecan</v>
      </c>
      <c r="B71" s="99" t="s">
        <v>192</v>
      </c>
      <c r="C71" s="108">
        <v>0.18</v>
      </c>
      <c r="D71" s="108">
        <v>0.18</v>
      </c>
      <c r="E71" s="108">
        <v>0.18</v>
      </c>
      <c r="F71" s="108">
        <v>0.18</v>
      </c>
      <c r="G71" s="108">
        <v>0.18</v>
      </c>
      <c r="H71" s="108">
        <v>0.18</v>
      </c>
      <c r="I71" s="108">
        <v>0.18</v>
      </c>
      <c r="J71" s="108">
        <v>0.18</v>
      </c>
      <c r="K71" s="108">
        <v>0.18</v>
      </c>
      <c r="L71" s="108">
        <v>0.18</v>
      </c>
      <c r="M71" s="108">
        <v>0.18</v>
      </c>
      <c r="N71" s="108">
        <v>0.18</v>
      </c>
      <c r="O71" s="108">
        <v>0.18</v>
      </c>
      <c r="P71" s="108">
        <v>0.18</v>
      </c>
      <c r="U71" s="20"/>
      <c r="V71" s="20"/>
    </row>
    <row r="72" spans="1:22" ht="15" hidden="1" customHeight="1" outlineLevel="1" x14ac:dyDescent="0.2">
      <c r="A72" s="12" t="str">
        <f>$B$62&amp;$B$67&amp;B72</f>
        <v>Patient share - USASecond line of treatmentBevacizumab + temozolomide + lomustine</v>
      </c>
      <c r="B72" s="99" t="s">
        <v>191</v>
      </c>
      <c r="C72" s="108">
        <v>0.154</v>
      </c>
      <c r="D72" s="108">
        <v>0.154</v>
      </c>
      <c r="E72" s="108">
        <v>0.154</v>
      </c>
      <c r="F72" s="108">
        <v>0.154</v>
      </c>
      <c r="G72" s="108">
        <v>0.154</v>
      </c>
      <c r="H72" s="108">
        <v>0.154</v>
      </c>
      <c r="I72" s="108">
        <v>0.154</v>
      </c>
      <c r="J72" s="108">
        <v>0.154</v>
      </c>
      <c r="K72" s="108">
        <v>0.154</v>
      </c>
      <c r="L72" s="108">
        <v>0.154</v>
      </c>
      <c r="M72" s="108">
        <v>0.154</v>
      </c>
      <c r="N72" s="108">
        <v>0.154</v>
      </c>
      <c r="O72" s="108">
        <v>0.154</v>
      </c>
      <c r="P72" s="108">
        <v>0.154</v>
      </c>
      <c r="U72" s="20"/>
      <c r="V72" s="20"/>
    </row>
    <row r="73" spans="1:22" ht="15" hidden="1" customHeight="1" outlineLevel="1" x14ac:dyDescent="0.2">
      <c r="A73" s="12" t="str">
        <f>$B$62&amp;$B$67&amp;B73</f>
        <v>Patient share - USASecond line of treatmentBevacizumab + carboplatin</v>
      </c>
      <c r="B73" s="99" t="s">
        <v>190</v>
      </c>
      <c r="C73" s="108">
        <v>6.7000000000000004E-2</v>
      </c>
      <c r="D73" s="108">
        <v>6.7000000000000004E-2</v>
      </c>
      <c r="E73" s="108">
        <v>6.7000000000000004E-2</v>
      </c>
      <c r="F73" s="108">
        <v>6.7000000000000004E-2</v>
      </c>
      <c r="G73" s="108">
        <v>6.7000000000000004E-2</v>
      </c>
      <c r="H73" s="108">
        <v>6.7000000000000004E-2</v>
      </c>
      <c r="I73" s="108">
        <v>6.7000000000000004E-2</v>
      </c>
      <c r="J73" s="108">
        <v>6.7000000000000004E-2</v>
      </c>
      <c r="K73" s="108">
        <v>6.7000000000000004E-2</v>
      </c>
      <c r="L73" s="108">
        <v>6.7000000000000004E-2</v>
      </c>
      <c r="M73" s="108">
        <v>6.7000000000000004E-2</v>
      </c>
      <c r="N73" s="108">
        <v>6.7000000000000004E-2</v>
      </c>
      <c r="O73" s="108">
        <v>6.7000000000000004E-2</v>
      </c>
      <c r="P73" s="108">
        <v>6.7000000000000004E-2</v>
      </c>
      <c r="U73" s="20"/>
      <c r="V73" s="20"/>
    </row>
    <row r="74" spans="1:22" ht="15" hidden="1" customHeight="1" outlineLevel="1" x14ac:dyDescent="0.2">
      <c r="A74" s="12" t="str">
        <f>$B$62&amp;$B$67&amp;B74</f>
        <v>Patient share - USASecond line of treatmentOther combinations with bevacizumab</v>
      </c>
      <c r="B74" s="99" t="s">
        <v>189</v>
      </c>
      <c r="C74" s="108" t="s">
        <v>188</v>
      </c>
      <c r="D74" s="108" t="s">
        <v>188</v>
      </c>
      <c r="E74" s="108" t="s">
        <v>188</v>
      </c>
      <c r="F74" s="108" t="s">
        <v>188</v>
      </c>
      <c r="G74" s="108" t="s">
        <v>188</v>
      </c>
      <c r="H74" s="108" t="s">
        <v>188</v>
      </c>
      <c r="I74" s="108" t="s">
        <v>188</v>
      </c>
      <c r="J74" s="108" t="s">
        <v>188</v>
      </c>
      <c r="K74" s="108" t="s">
        <v>188</v>
      </c>
      <c r="L74" s="108" t="s">
        <v>188</v>
      </c>
      <c r="M74" s="108" t="s">
        <v>188</v>
      </c>
      <c r="N74" s="108" t="s">
        <v>188</v>
      </c>
      <c r="O74" s="108" t="s">
        <v>188</v>
      </c>
      <c r="P74" s="108" t="s">
        <v>188</v>
      </c>
      <c r="U74" s="20"/>
      <c r="V74" s="20"/>
    </row>
    <row r="75" spans="1:22" ht="15" customHeight="1" collapsed="1" x14ac:dyDescent="0.2">
      <c r="A75" s="12" t="str">
        <f>$B$62&amp;$B$67&amp;B75</f>
        <v>Patient share - USASecond line of treatmentTemozolomide (Both as Combination and monotherapy)</v>
      </c>
      <c r="B75" s="22" t="s">
        <v>30</v>
      </c>
      <c r="C75" s="98">
        <v>0.17899999999999999</v>
      </c>
      <c r="D75" s="98">
        <v>0.17899999999999999</v>
      </c>
      <c r="E75" s="98">
        <v>0.17899999999999999</v>
      </c>
      <c r="F75" s="98">
        <v>0.17899999999999999</v>
      </c>
      <c r="G75" s="98">
        <v>0.17899999999999999</v>
      </c>
      <c r="H75" s="98">
        <f>G75*(1-0.5%)</f>
        <v>0.17810499999999999</v>
      </c>
      <c r="I75" s="98">
        <f>H75*(1-4.5%)</f>
        <v>0.17009027499999999</v>
      </c>
      <c r="J75" s="98">
        <f>I75*(1-9.5%)</f>
        <v>0.15393169887499999</v>
      </c>
      <c r="K75" s="98">
        <f>J75*(1-10.5%)</f>
        <v>0.137768870493125</v>
      </c>
      <c r="L75" s="98">
        <f>K75*(1-22.5%)</f>
        <v>0.10677087463217187</v>
      </c>
      <c r="M75" s="98">
        <f>L75*(1-34.5%)</f>
        <v>6.9934922884072576E-2</v>
      </c>
      <c r="N75" s="98">
        <f>M75*(1-38.5%)</f>
        <v>4.300997757370463E-2</v>
      </c>
      <c r="O75" s="98">
        <f>N75*(1-34.5%)</f>
        <v>2.8171535310776534E-2</v>
      </c>
      <c r="P75" s="98">
        <f>O75*(1-30.5%)</f>
        <v>1.9579217040989694E-2</v>
      </c>
      <c r="U75" s="20"/>
      <c r="V75" s="20"/>
    </row>
    <row r="76" spans="1:22" ht="15" customHeight="1" x14ac:dyDescent="0.2">
      <c r="A76" s="12" t="str">
        <f>$B$62&amp;$B$67&amp;B76</f>
        <v>Patient share - USASecond line of treatmentOther Systemic therapies (Concomitant and Adjuvant Chemotherapy agents)</v>
      </c>
      <c r="B76" s="22" t="s">
        <v>29</v>
      </c>
      <c r="C76" s="98">
        <v>0.13700000000000001</v>
      </c>
      <c r="D76" s="98">
        <v>0.13700000000000001</v>
      </c>
      <c r="E76" s="98">
        <v>0.13700000000000001</v>
      </c>
      <c r="F76" s="98">
        <v>0.13700000000000001</v>
      </c>
      <c r="G76" s="98">
        <v>0.13700000000000001</v>
      </c>
      <c r="H76" s="98">
        <f>G76*(1-0.5%)</f>
        <v>0.13631500000000002</v>
      </c>
      <c r="I76" s="98">
        <f>H76*(1-4.5%)</f>
        <v>0.130180825</v>
      </c>
      <c r="J76" s="98">
        <f>I76*(1-7.5%)</f>
        <v>0.12041726312500001</v>
      </c>
      <c r="K76" s="98">
        <f>J76*(1-10.5%)</f>
        <v>0.10777345049687501</v>
      </c>
      <c r="L76" s="98">
        <f>K76*(1-22.5%)</f>
        <v>8.3524424135078129E-2</v>
      </c>
      <c r="M76" s="98">
        <f>L76*(1-32.5%)</f>
        <v>5.6378986291177741E-2</v>
      </c>
      <c r="N76" s="98">
        <f>M76*(1-32.5%)</f>
        <v>3.8055815746544978E-2</v>
      </c>
      <c r="O76" s="98">
        <f>N76*(1-35.5%)</f>
        <v>2.4546001156521512E-2</v>
      </c>
      <c r="P76" s="98">
        <f>O76*(1-30.5%)</f>
        <v>1.7059470803782454E-2</v>
      </c>
      <c r="U76" s="20"/>
      <c r="V76" s="20"/>
    </row>
    <row r="77" spans="1:22" x14ac:dyDescent="0.2">
      <c r="A77" s="12"/>
    </row>
    <row r="78" spans="1:22" x14ac:dyDescent="0.2">
      <c r="A78" s="104"/>
      <c r="B78" s="103" t="s">
        <v>187</v>
      </c>
    </row>
    <row r="79" spans="1:22" x14ac:dyDescent="0.2">
      <c r="A79" s="12"/>
      <c r="B79" s="24" t="s">
        <v>38</v>
      </c>
      <c r="C79" s="101">
        <f>SUM(C80:C82,C180:C181,C183,C185:C186,C189:C193)</f>
        <v>0.99999999999999989</v>
      </c>
      <c r="D79" s="101">
        <f>SUM(D80:D82,D180:D181,D183,D185:D186,D189:D193)</f>
        <v>0.99999999999999989</v>
      </c>
      <c r="E79" s="101">
        <f>SUM(E80:E82,E180:E181,E183,E185:E186,E189:E193)</f>
        <v>0.99999999999999989</v>
      </c>
      <c r="F79" s="101">
        <f>SUM(F80:F82,F180:F181,F183,F185:F186,F189:F193)</f>
        <v>0.99999999999999989</v>
      </c>
      <c r="G79" s="101">
        <f>SUM(G80:G82,G180:G181,G183,G185:G186,G189:G193)</f>
        <v>0.99999999999999989</v>
      </c>
      <c r="H79" s="101">
        <f>SUM(H80:H82,H180:H181,H183,H185:H186,H189:H193)</f>
        <v>0.99999999999999989</v>
      </c>
      <c r="I79" s="101">
        <f>SUM(I80:I82,I180:I181,I183,I185:I186,I189:I193)</f>
        <v>0.9996665140650085</v>
      </c>
      <c r="J79" s="101">
        <f>SUM(J80:J82,J180:J181,J183,J185:J186,J189:J193)</f>
        <v>0.99963092816877641</v>
      </c>
      <c r="K79" s="101">
        <f>SUM(K80:K82,K180:K181,K183,K185:K186,K189:K193)</f>
        <v>1.0005695177105989</v>
      </c>
      <c r="L79" s="101">
        <f>SUM(L80:L82,L180:L181,L183,L185:L186,L189:L193)</f>
        <v>1.0002525127275688</v>
      </c>
      <c r="M79" s="101">
        <f>SUM(M80:M82,M180:M181,M183,M185:M186,M189:M193)</f>
        <v>1.0000139376363593</v>
      </c>
      <c r="N79" s="101">
        <f>SUM(N80:N82,N180:N181,N183,N185:N186,N189:N193)</f>
        <v>1.0001876537620076</v>
      </c>
      <c r="O79" s="101">
        <f>SUM(O80:O82,O180:O181,O183,O185:O186,O189:O193)</f>
        <v>1.0007281913543931</v>
      </c>
      <c r="P79" s="101">
        <f>SUM(P80:P82,P180:P181,P183,P185:P186,P189:P193)</f>
        <v>1.0011826398602004</v>
      </c>
    </row>
    <row r="80" spans="1:22" ht="14.25" customHeight="1" x14ac:dyDescent="0.2">
      <c r="A80" s="12" t="str">
        <f>$B$78&amp;B79&amp;B80</f>
        <v>Patient share - EU5First line of drug therapy following SurgerySurgery ± Radiation Therapy/ Chemotherapy</v>
      </c>
      <c r="B80" s="25" t="s">
        <v>182</v>
      </c>
      <c r="C80" s="98">
        <v>0.105</v>
      </c>
      <c r="D80" s="98">
        <v>0.105</v>
      </c>
      <c r="E80" s="98">
        <v>0.105</v>
      </c>
      <c r="F80" s="98">
        <v>0.105</v>
      </c>
      <c r="G80" s="98">
        <v>0.105</v>
      </c>
      <c r="H80" s="98">
        <v>0.105</v>
      </c>
      <c r="I80" s="98">
        <v>0.105</v>
      </c>
      <c r="J80" s="98">
        <v>0.105</v>
      </c>
      <c r="K80" s="98">
        <v>0.105</v>
      </c>
      <c r="L80" s="98">
        <f>K80*(1-5.75%)</f>
        <v>9.8962499999999995E-2</v>
      </c>
      <c r="M80" s="98">
        <f>L80*(1-5.75%)</f>
        <v>9.3272156250000002E-2</v>
      </c>
      <c r="N80" s="98">
        <f>M80*(1-15.75%)</f>
        <v>7.8581791640625009E-2</v>
      </c>
      <c r="O80" s="98">
        <f>N80*(1-15.75%)</f>
        <v>6.6205159457226576E-2</v>
      </c>
      <c r="P80" s="98">
        <f>O80*(1-8.75%)</f>
        <v>6.0412208004719248E-2</v>
      </c>
    </row>
    <row r="81" spans="1:22" ht="14.25" customHeight="1" x14ac:dyDescent="0.2">
      <c r="A81" s="12" t="str">
        <f>$B$78&amp;$B$79&amp;B81</f>
        <v>Patient share - EU5First line of drug therapy following SurgeryTemozolomide+Radiation Therapy (RT) or Radiation Alone- Maintanance therapy</v>
      </c>
      <c r="B81" s="25" t="s">
        <v>35</v>
      </c>
      <c r="C81" s="98">
        <v>0.81499999999999995</v>
      </c>
      <c r="D81" s="98">
        <v>0.81499999999999995</v>
      </c>
      <c r="E81" s="98">
        <v>0.81499999999999995</v>
      </c>
      <c r="F81" s="98">
        <v>0.81499999999999995</v>
      </c>
      <c r="G81" s="98">
        <v>0.81499999999999995</v>
      </c>
      <c r="H81" s="98">
        <v>0.81499999999999995</v>
      </c>
      <c r="I81" s="98">
        <f>H81*(1-0.25%)</f>
        <v>0.81296250000000003</v>
      </c>
      <c r="J81" s="98">
        <f>I81*(1-1.25%)</f>
        <v>0.80280046875000011</v>
      </c>
      <c r="K81" s="98">
        <f>J81*(1-4.25%)</f>
        <v>0.76868144882812517</v>
      </c>
      <c r="L81" s="98">
        <f>K81*(1-8.25%)</f>
        <v>0.70526522929980484</v>
      </c>
      <c r="M81" s="98">
        <f>L81*(1-13.5%)</f>
        <v>0.61005442334433113</v>
      </c>
      <c r="N81" s="98">
        <f>M81*(1-17.25%)</f>
        <v>0.50482003531743402</v>
      </c>
      <c r="O81" s="98">
        <f>N81*(1-16.25%)</f>
        <v>0.42278677957835098</v>
      </c>
      <c r="P81" s="98">
        <f>O81*(1-10.75%)</f>
        <v>0.37733720077367822</v>
      </c>
      <c r="U81" s="107" t="s">
        <v>186</v>
      </c>
      <c r="V81" s="20" t="s">
        <v>183</v>
      </c>
    </row>
    <row r="82" spans="1:22" ht="14.25" customHeight="1" x14ac:dyDescent="0.2">
      <c r="A82" s="12" t="str">
        <f>$B$78&amp;$B$79&amp;B82</f>
        <v>Patient share - EU5First line of drug therapy following SurgeryTemozolomide monotherapy</v>
      </c>
      <c r="B82" s="25" t="s">
        <v>34</v>
      </c>
      <c r="C82" s="98">
        <v>0.08</v>
      </c>
      <c r="D82" s="98">
        <v>0.08</v>
      </c>
      <c r="E82" s="98">
        <v>0.08</v>
      </c>
      <c r="F82" s="98">
        <v>0.08</v>
      </c>
      <c r="G82" s="98">
        <v>0.08</v>
      </c>
      <c r="H82" s="98">
        <v>0.08</v>
      </c>
      <c r="I82" s="98">
        <v>0.08</v>
      </c>
      <c r="J82" s="98">
        <v>0.08</v>
      </c>
      <c r="K82" s="98">
        <v>0.08</v>
      </c>
      <c r="L82" s="98">
        <f>K82*(1-3.25%)</f>
        <v>7.740000000000001E-2</v>
      </c>
      <c r="M82" s="98">
        <f>L82*(1-5.25%)</f>
        <v>7.3336500000000013E-2</v>
      </c>
      <c r="N82" s="98">
        <f>M82*(1-8.75%)</f>
        <v>6.6919556250000012E-2</v>
      </c>
      <c r="O82" s="98">
        <f>N82*(1-7.75%)</f>
        <v>6.1733290640625008E-2</v>
      </c>
      <c r="P82" s="98">
        <f>O82*(1-4.25%)</f>
        <v>5.9109625788398443E-2</v>
      </c>
      <c r="U82" s="20"/>
      <c r="V82" s="20"/>
    </row>
    <row r="83" spans="1:22" x14ac:dyDescent="0.2">
      <c r="A83" s="12" t="str">
        <f>$B$78&amp;$B$79&amp;B83</f>
        <v>Patient share - EU5First line of drug therapy following SurgerySecond line of treatment</v>
      </c>
      <c r="B83" s="24" t="s">
        <v>33</v>
      </c>
      <c r="C83" s="100">
        <f>SUM(C84:C87,C180:C196)</f>
        <v>1</v>
      </c>
      <c r="D83" s="100">
        <f>SUM(D84:D87,D180:D196)</f>
        <v>1</v>
      </c>
      <c r="E83" s="100">
        <f>SUM(E84:E87,E180:E196)</f>
        <v>1</v>
      </c>
      <c r="F83" s="100">
        <f>SUM(F84:F87,F180:F196)</f>
        <v>1</v>
      </c>
      <c r="G83" s="100">
        <f>SUM(G84:G87,G180:G196)</f>
        <v>1</v>
      </c>
      <c r="H83" s="100">
        <f>SUM(H84:H87,H180:H196)</f>
        <v>1.0003219648371844</v>
      </c>
      <c r="I83" s="100">
        <f>SUM(I84:I87,I180:I196)</f>
        <v>1.0014141849770384</v>
      </c>
      <c r="J83" s="100">
        <f>SUM(J84:J87,J180:J196)</f>
        <v>1.000186385615619</v>
      </c>
      <c r="K83" s="100">
        <f>SUM(K84:K87,K180:K196)</f>
        <v>1.0003636674691911</v>
      </c>
      <c r="L83" s="100">
        <f>SUM(L84:L87,L180:L196)</f>
        <v>1.0000853936622101</v>
      </c>
      <c r="M83" s="100">
        <f>SUM(M84:M87,M180:M196)</f>
        <v>0.99993863978749253</v>
      </c>
      <c r="N83" s="100">
        <f>SUM(N84:N87,N180:N196)</f>
        <v>1.0001237944763326</v>
      </c>
      <c r="O83" s="100">
        <f>SUM(O84:O87,O180:O196)</f>
        <v>1.0005701585159006</v>
      </c>
      <c r="P83" s="100">
        <f>SUM(P84:P87,P180:P196)</f>
        <v>1.0014399713694635</v>
      </c>
      <c r="U83" s="20"/>
      <c r="V83" s="20"/>
    </row>
    <row r="84" spans="1:22" x14ac:dyDescent="0.2">
      <c r="A84" s="12" t="str">
        <f>$B$78&amp;$B$83&amp;B84</f>
        <v>Patient share - EU5Second line of treatmentBevacizumab monotherapy</v>
      </c>
      <c r="B84" s="22" t="s">
        <v>32</v>
      </c>
      <c r="C84" s="98">
        <v>0.2</v>
      </c>
      <c r="D84" s="98">
        <v>0.2</v>
      </c>
      <c r="E84" s="98">
        <v>0.2</v>
      </c>
      <c r="F84" s="98">
        <v>0.2</v>
      </c>
      <c r="G84" s="98">
        <v>0.2</v>
      </c>
      <c r="H84" s="98">
        <f>G84*(1-0.5%)</f>
        <v>0.19900000000000001</v>
      </c>
      <c r="I84" s="98">
        <f>H84*(1-2.5%)</f>
        <v>0.194025</v>
      </c>
      <c r="J84" s="98">
        <f>I84*(1-5.5%)</f>
        <v>0.18335362499999999</v>
      </c>
      <c r="K84" s="98">
        <f>J84*(1-7.5%)</f>
        <v>0.16960210312500001</v>
      </c>
      <c r="L84" s="98">
        <f>K84*(1-12.5%)</f>
        <v>0.14840184023437503</v>
      </c>
      <c r="M84" s="98">
        <f>L84*(1-23%)</f>
        <v>0.11426941698046877</v>
      </c>
      <c r="N84" s="98">
        <f>M84*(1-35.75%)</f>
        <v>7.3418100409951198E-2</v>
      </c>
      <c r="O84" s="98">
        <f>N84*(1-45.75%)</f>
        <v>3.9829319472398525E-2</v>
      </c>
      <c r="P84" s="98">
        <f>O84*(1-45.75%)</f>
        <v>2.1607405813776199E-2</v>
      </c>
      <c r="U84" s="20"/>
      <c r="V84" s="20"/>
    </row>
    <row r="85" spans="1:22" x14ac:dyDescent="0.2">
      <c r="A85" s="12" t="str">
        <f>$B$78&amp;$B$83&amp;B85</f>
        <v>Patient share - EU5Second line of treatmentBevacizumab Combination therapy</v>
      </c>
      <c r="B85" s="22" t="s">
        <v>31</v>
      </c>
      <c r="C85" s="98">
        <v>0.2</v>
      </c>
      <c r="D85" s="98">
        <v>0.2</v>
      </c>
      <c r="E85" s="98">
        <v>0.2</v>
      </c>
      <c r="F85" s="98">
        <v>0.2</v>
      </c>
      <c r="G85" s="98">
        <v>0.2</v>
      </c>
      <c r="H85" s="98">
        <f>G85*(1-0.5%)</f>
        <v>0.19900000000000001</v>
      </c>
      <c r="I85" s="98">
        <f>H85*(1-2.5%)</f>
        <v>0.194025</v>
      </c>
      <c r="J85" s="98">
        <f>I85*(1-5.5%)</f>
        <v>0.18335362499999999</v>
      </c>
      <c r="K85" s="98">
        <f>J85*(1-7.5%)</f>
        <v>0.16960210312500001</v>
      </c>
      <c r="L85" s="98">
        <f>K85*(1-13.5%)</f>
        <v>0.146705819203125</v>
      </c>
      <c r="M85" s="98">
        <f>L85*(1-20.5%)</f>
        <v>0.11663112626648438</v>
      </c>
      <c r="N85" s="98">
        <f>M85*(1-25.75%)</f>
        <v>8.6598611252864638E-2</v>
      </c>
      <c r="O85" s="98">
        <f>N85*(1-25.75%)</f>
        <v>6.4299468855251993E-2</v>
      </c>
      <c r="P85" s="98">
        <f>O85*(1-17.75%)</f>
        <v>5.2886313133444766E-2</v>
      </c>
      <c r="U85" s="20"/>
      <c r="V85" s="20"/>
    </row>
    <row r="86" spans="1:22" x14ac:dyDescent="0.2">
      <c r="A86" s="12" t="str">
        <f>$B$78&amp;$B$83&amp;B86</f>
        <v>Patient share - EU5Second line of treatmentTemozolomide (Both as Combination and monotherapy)</v>
      </c>
      <c r="B86" s="22" t="s">
        <v>30</v>
      </c>
      <c r="C86" s="98">
        <v>0.3</v>
      </c>
      <c r="D86" s="98">
        <v>0.3</v>
      </c>
      <c r="E86" s="98">
        <v>0.3</v>
      </c>
      <c r="F86" s="98">
        <v>0.3</v>
      </c>
      <c r="G86" s="98">
        <v>0.3</v>
      </c>
      <c r="H86" s="98">
        <f>G86*(1-0.5%)</f>
        <v>0.29849999999999999</v>
      </c>
      <c r="I86" s="98">
        <f>H86*(1-0.75%)</f>
        <v>0.29626124999999998</v>
      </c>
      <c r="J86" s="98">
        <f>I86*(1-4.75%)</f>
        <v>0.28218884062499999</v>
      </c>
      <c r="K86" s="98">
        <f>J86*(1-10.25%)</f>
        <v>0.25326448446093747</v>
      </c>
      <c r="L86" s="98">
        <f>K86*(1-18.25%)</f>
        <v>0.20704371604681637</v>
      </c>
      <c r="M86" s="98">
        <f>L86*(1-26.75%)</f>
        <v>0.15165952200429297</v>
      </c>
      <c r="N86" s="98">
        <f>M86*(1-30.75%)</f>
        <v>0.10502421898797289</v>
      </c>
      <c r="O86" s="98">
        <f>N86*(1-34.75%)</f>
        <v>6.8528302889652323E-2</v>
      </c>
      <c r="P86" s="98">
        <f>O86*(1-34.75%)</f>
        <v>4.4714717635498148E-2</v>
      </c>
      <c r="U86" s="20"/>
      <c r="V86" s="20"/>
    </row>
    <row r="87" spans="1:22" x14ac:dyDescent="0.2">
      <c r="A87" s="12" t="str">
        <f>$B$78&amp;$B$83&amp;B87</f>
        <v>Patient share - EU5Second line of treatmentOther Systemic therapies (Concomitant and Adjuvant Chemotherapy agents)</v>
      </c>
      <c r="B87" s="22" t="s">
        <v>29</v>
      </c>
      <c r="C87" s="106">
        <v>0.3</v>
      </c>
      <c r="D87" s="106">
        <v>0.3</v>
      </c>
      <c r="E87" s="106">
        <v>0.3</v>
      </c>
      <c r="F87" s="106">
        <v>0.3</v>
      </c>
      <c r="G87" s="106">
        <v>0.3</v>
      </c>
      <c r="H87" s="98">
        <f>G87*(1-0.5%)</f>
        <v>0.29849999999999999</v>
      </c>
      <c r="I87" s="98">
        <f>H87*(1-1.75%)</f>
        <v>0.29327625000000002</v>
      </c>
      <c r="J87" s="98">
        <f>I87*(1-4.75%)</f>
        <v>0.27934562812500002</v>
      </c>
      <c r="K87" s="98">
        <f>J87*(1-10.25%)</f>
        <v>0.25071270124218753</v>
      </c>
      <c r="L87" s="98">
        <f>K87*(1-18.25%)</f>
        <v>0.2049576332654883</v>
      </c>
      <c r="M87" s="98">
        <f>L87*(1-26.75%)</f>
        <v>0.15013146636697017</v>
      </c>
      <c r="N87" s="98">
        <f>M87*(1-42.75%)</f>
        <v>8.5950264495090425E-2</v>
      </c>
      <c r="O87" s="98">
        <f>N87*(1-48.75%)</f>
        <v>4.4049510553733837E-2</v>
      </c>
      <c r="P87" s="98">
        <f>O87*(1-48.75%)</f>
        <v>2.2575374158788589E-2</v>
      </c>
      <c r="U87" s="105"/>
      <c r="V87" s="105"/>
    </row>
    <row r="88" spans="1:22" ht="14.25" customHeight="1" x14ac:dyDescent="0.2">
      <c r="A88" s="12"/>
    </row>
    <row r="89" spans="1:22" x14ac:dyDescent="0.2">
      <c r="A89" s="104"/>
      <c r="B89" s="103" t="s">
        <v>185</v>
      </c>
    </row>
    <row r="90" spans="1:22" x14ac:dyDescent="0.2">
      <c r="A90" s="12"/>
      <c r="B90" s="102" t="s">
        <v>184</v>
      </c>
      <c r="C90" s="101"/>
      <c r="D90" s="101"/>
      <c r="E90" s="101"/>
      <c r="F90" s="101"/>
      <c r="G90" s="101"/>
      <c r="H90" s="101"/>
      <c r="I90" s="101"/>
      <c r="J90" s="101"/>
      <c r="K90" s="101"/>
      <c r="L90" s="101"/>
      <c r="M90" s="101"/>
      <c r="N90" s="101"/>
      <c r="O90" s="101"/>
      <c r="P90" s="101"/>
    </row>
    <row r="91" spans="1:22" ht="14.25" customHeight="1" x14ac:dyDescent="0.2">
      <c r="A91" s="12"/>
      <c r="B91" s="24" t="s">
        <v>38</v>
      </c>
      <c r="C91" s="100">
        <f>SUM(C92:C94,C218:C219,C221,C223:C224,C227:C231)</f>
        <v>1</v>
      </c>
      <c r="D91" s="100">
        <f>SUM(D92:D94,D218:D219,D221,D223:D224,D227:D231)</f>
        <v>1</v>
      </c>
      <c r="E91" s="100">
        <f>SUM(E92:E94,E218:E219,E221,E223:E224,E227:E231)</f>
        <v>1</v>
      </c>
      <c r="F91" s="100">
        <f>SUM(F92:F94,F218:F219,F221,F223:F224,F227:F231)</f>
        <v>1</v>
      </c>
      <c r="G91" s="100">
        <f>SUM(G92:G94,G218:G219,G221,G223:G224,G227:G231)</f>
        <v>1</v>
      </c>
      <c r="H91" s="100">
        <f>SUM(H92:H94,H218:H219,H221,H223:H224,H227:H231)</f>
        <v>1</v>
      </c>
      <c r="I91" s="100">
        <f>SUM(I92:I94,I218:I219,I221,I223:I224,I227:I231)</f>
        <v>1</v>
      </c>
      <c r="J91" s="100">
        <f>SUM(J92:J94,J218:J219,J221,J223:J224,J227:J231)</f>
        <v>0.99996401406500857</v>
      </c>
      <c r="K91" s="100">
        <f>SUM(K92:K94,K218:K219,K221,K223:K224,K227:K231)</f>
        <v>1.0014078594187765</v>
      </c>
      <c r="L91" s="100">
        <f>SUM(L92:L94,L218:L219,L221,L223:L224,L227:L231)</f>
        <v>1.000150458263724</v>
      </c>
      <c r="M91" s="100">
        <f>SUM(M92:M94,M218:M219,M221,M223:M224,M227:M231)</f>
        <v>0.99980599601742026</v>
      </c>
      <c r="N91" s="100">
        <f>SUM(N92:N94,N218:N219,N221,N223:N224,N227:N231)</f>
        <v>1.0007428530438369</v>
      </c>
      <c r="O91" s="100">
        <f>SUM(O92:O94,O218:O219,O221,O223:O224,O227:O231)</f>
        <v>1.000402056889542</v>
      </c>
      <c r="P91" s="100">
        <f>SUM(P92:P94,P218:P219,P221,P223:P224,P227:P231)</f>
        <v>1.0003002438806319</v>
      </c>
      <c r="U91" s="20"/>
      <c r="V91" s="20" t="s">
        <v>183</v>
      </c>
    </row>
    <row r="92" spans="1:22" ht="14.25" customHeight="1" x14ac:dyDescent="0.2">
      <c r="A92" s="12" t="str">
        <f>$B$89&amp;B90&amp;B92</f>
        <v>Patient share - JapanFirst line of treatmentSurgery ± Radiation Therapy/ Chemotherapy</v>
      </c>
      <c r="B92" s="25" t="s">
        <v>182</v>
      </c>
      <c r="C92" s="98">
        <v>0.115</v>
      </c>
      <c r="D92" s="98">
        <v>0.115</v>
      </c>
      <c r="E92" s="98">
        <v>0.115</v>
      </c>
      <c r="F92" s="98">
        <v>0.115</v>
      </c>
      <c r="G92" s="98">
        <v>0.115</v>
      </c>
      <c r="H92" s="98">
        <v>0.115</v>
      </c>
      <c r="I92" s="98">
        <v>0.115</v>
      </c>
      <c r="J92" s="98">
        <f>H64</f>
        <v>0.115</v>
      </c>
      <c r="K92" s="98">
        <f>I64</f>
        <v>0.115</v>
      </c>
      <c r="L92" s="98">
        <f>J64</f>
        <v>0.1129875</v>
      </c>
      <c r="M92" s="98">
        <f>K64</f>
        <v>0.10677318750000001</v>
      </c>
      <c r="N92" s="98">
        <f>L64</f>
        <v>0.10063372921875001</v>
      </c>
      <c r="O92" s="98">
        <f>M64</f>
        <v>9.4847289788671879E-2</v>
      </c>
      <c r="P92" s="98">
        <f>N64</f>
        <v>8.4651206136389642E-2</v>
      </c>
      <c r="U92" s="20"/>
      <c r="V92" s="20"/>
    </row>
    <row r="93" spans="1:22" ht="14.25" customHeight="1" x14ac:dyDescent="0.2">
      <c r="A93" s="12" t="str">
        <f>$B$89&amp;$B$91&amp;B93</f>
        <v>Patient share - JapanFirst line of drug therapy following SurgeryTemozolomide+Radiation Therapy (RT) or Radiation Alone- Maintanance therapy</v>
      </c>
      <c r="B93" s="25" t="s">
        <v>35</v>
      </c>
      <c r="C93" s="98">
        <v>0.87</v>
      </c>
      <c r="D93" s="98">
        <v>0.87</v>
      </c>
      <c r="E93" s="98">
        <v>0.87</v>
      </c>
      <c r="F93" s="98">
        <v>0.87</v>
      </c>
      <c r="G93" s="98">
        <v>0.87</v>
      </c>
      <c r="H93" s="98">
        <v>0.87</v>
      </c>
      <c r="I93" s="98">
        <v>0.87</v>
      </c>
      <c r="J93" s="98">
        <f>H65</f>
        <v>0.86826000000000003</v>
      </c>
      <c r="K93" s="98">
        <f>I65</f>
        <v>0.85957740000000005</v>
      </c>
      <c r="L93" s="98">
        <f>J65*(1-0.25%)</f>
        <v>0.82527488938125015</v>
      </c>
      <c r="M93" s="98">
        <f>K65*(1-0.5%)</f>
        <v>0.75940802508965632</v>
      </c>
      <c r="N93" s="98">
        <f>L65*(1-1.75%)</f>
        <v>0.66175826578305874</v>
      </c>
      <c r="O93" s="98">
        <f>M65*(1-5%)</f>
        <v>0.54068849654692153</v>
      </c>
      <c r="P93" s="98">
        <f>N65*(1-9.25%)</f>
        <v>0.45064607606605167</v>
      </c>
      <c r="U93" s="20"/>
      <c r="V93" s="20"/>
    </row>
    <row r="94" spans="1:22" ht="14.25" customHeight="1" x14ac:dyDescent="0.2">
      <c r="A94" s="12" t="str">
        <f>$B$89&amp;$B$91&amp;B94</f>
        <v>Patient share - JapanFirst line of drug therapy following SurgeryTemozolomide monotherapy</v>
      </c>
      <c r="B94" s="25" t="s">
        <v>34</v>
      </c>
      <c r="C94" s="98">
        <v>1.4999999999999999E-2</v>
      </c>
      <c r="D94" s="98">
        <f>C94</f>
        <v>1.4999999999999999E-2</v>
      </c>
      <c r="E94" s="98">
        <f>D94</f>
        <v>1.4999999999999999E-2</v>
      </c>
      <c r="F94" s="98">
        <f>E94</f>
        <v>1.4999999999999999E-2</v>
      </c>
      <c r="G94" s="98">
        <f>F94</f>
        <v>1.4999999999999999E-2</v>
      </c>
      <c r="H94" s="98">
        <f>G94</f>
        <v>1.4999999999999999E-2</v>
      </c>
      <c r="I94" s="98">
        <f>H94</f>
        <v>1.4999999999999999E-2</v>
      </c>
      <c r="J94" s="98">
        <f>H66</f>
        <v>1.4999999999999999E-2</v>
      </c>
      <c r="K94" s="98">
        <f>I66</f>
        <v>1.4999999999999999E-2</v>
      </c>
      <c r="L94" s="98">
        <f>J66</f>
        <v>1.4999999999999999E-2</v>
      </c>
      <c r="M94" s="98">
        <f>K66</f>
        <v>1.4999999999999999E-2</v>
      </c>
      <c r="N94" s="98">
        <f>L66</f>
        <v>1.4999999999999999E-2</v>
      </c>
      <c r="O94" s="98">
        <f>M66</f>
        <v>1.4999999999999999E-2</v>
      </c>
      <c r="P94" s="98">
        <f>N66</f>
        <v>1.4999999999999999E-2</v>
      </c>
      <c r="U94" s="20"/>
      <c r="V94" s="20"/>
    </row>
    <row r="95" spans="1:22" x14ac:dyDescent="0.2">
      <c r="A95" s="12"/>
      <c r="B95" s="24" t="s">
        <v>33</v>
      </c>
      <c r="C95" s="100">
        <f>SUM(C96:C100,C218:C234)</f>
        <v>1</v>
      </c>
      <c r="D95" s="100">
        <f>SUM(D96:D100,D218:D234)</f>
        <v>1</v>
      </c>
      <c r="E95" s="100">
        <f>SUM(E96:E100,E218:E234)</f>
        <v>1</v>
      </c>
      <c r="F95" s="100">
        <f>SUM(F96:F100,F218:F234)</f>
        <v>1</v>
      </c>
      <c r="G95" s="100">
        <f>SUM(G96:G100,G218:G234)</f>
        <v>1</v>
      </c>
      <c r="H95" s="100">
        <f>SUM(H96:H100,H218:H234)</f>
        <v>1</v>
      </c>
      <c r="I95" s="100">
        <f>SUM(I96:I100,I218:I234)</f>
        <v>1.0001469648371843</v>
      </c>
      <c r="J95" s="100">
        <f>SUM(J96:J100,J218:J234)</f>
        <v>1.0012204349770386</v>
      </c>
      <c r="K95" s="100">
        <f>SUM(K96:K100,K218:K234)</f>
        <v>1.000978941865619</v>
      </c>
      <c r="L95" s="100">
        <f>SUM(L96:L100,L218:L234)</f>
        <v>1.0005619108910662</v>
      </c>
      <c r="M95" s="100">
        <f>SUM(M96:M100,M218:M234)</f>
        <v>1.001342926862054</v>
      </c>
      <c r="N95" s="100">
        <f>SUM(N96:N100,N218:N234)</f>
        <v>1.0011893909990652</v>
      </c>
      <c r="O95" s="100">
        <f>SUM(O96:O100,O218:O234)</f>
        <v>0.99967616560651051</v>
      </c>
      <c r="P95" s="100">
        <f>SUM(P96:P100,P218:P234)</f>
        <v>1.0000277184683495</v>
      </c>
      <c r="U95" s="20"/>
      <c r="V95" s="20"/>
    </row>
    <row r="96" spans="1:22" x14ac:dyDescent="0.2">
      <c r="A96" s="12" t="str">
        <f>$B$89&amp;$B$95&amp;B96</f>
        <v>Patient share - JapanSecond line of treatmentBevacizumab monotherapy</v>
      </c>
      <c r="B96" s="22" t="s">
        <v>32</v>
      </c>
      <c r="C96" s="98">
        <v>0.42</v>
      </c>
      <c r="D96" s="98">
        <v>0.45</v>
      </c>
      <c r="E96" s="98">
        <v>0.45</v>
      </c>
      <c r="F96" s="98">
        <v>0.45</v>
      </c>
      <c r="G96" s="98">
        <v>0.45</v>
      </c>
      <c r="H96" s="98">
        <v>0.45</v>
      </c>
      <c r="I96" s="98">
        <f>G68</f>
        <v>0.44774999999999998</v>
      </c>
      <c r="J96" s="98">
        <f>H68</f>
        <v>0.43767562500000001</v>
      </c>
      <c r="K96" s="98">
        <f>I68</f>
        <v>0.413603465625</v>
      </c>
      <c r="L96" s="98">
        <f>J68</f>
        <v>0.37431113639062502</v>
      </c>
      <c r="M96" s="98">
        <f>K68</f>
        <v>0.30412779831738285</v>
      </c>
      <c r="N96" s="98">
        <f>L68</f>
        <v>0.22581489025065674</v>
      </c>
      <c r="O96" s="98">
        <f>M68</f>
        <v>0.14734421588855354</v>
      </c>
      <c r="P96" s="98">
        <f>N68</f>
        <v>8.877489007285351E-2</v>
      </c>
      <c r="U96" s="20"/>
      <c r="V96" s="20"/>
    </row>
    <row r="97" spans="1:22" x14ac:dyDescent="0.2">
      <c r="A97" s="12" t="str">
        <f>$B$89&amp;$B$95&amp;B97</f>
        <v>Patient share - JapanSecond line of treatmentBevacizumab Combination therapy</v>
      </c>
      <c r="B97" s="22" t="s">
        <v>31</v>
      </c>
      <c r="C97" s="98">
        <v>0.214</v>
      </c>
      <c r="D97" s="98">
        <v>0.23400000000000001</v>
      </c>
      <c r="E97" s="98">
        <v>0.23400000000000001</v>
      </c>
      <c r="F97" s="98">
        <v>0.23400000000000001</v>
      </c>
      <c r="G97" s="98">
        <v>0.23400000000000001</v>
      </c>
      <c r="H97" s="98">
        <v>0.23400000000000001</v>
      </c>
      <c r="I97" s="98">
        <f>G69</f>
        <v>0.23107500000000003</v>
      </c>
      <c r="J97" s="98">
        <f>H69</f>
        <v>0.22529812500000002</v>
      </c>
      <c r="K97" s="98">
        <f>I69</f>
        <v>0.21515970937500001</v>
      </c>
      <c r="L97" s="98">
        <f>J69</f>
        <v>0.19471953698437502</v>
      </c>
      <c r="M97" s="98">
        <f>K69</f>
        <v>0.15869642264226563</v>
      </c>
      <c r="N97" s="98">
        <f>L69</f>
        <v>0.11783209381188223</v>
      </c>
      <c r="O97" s="98">
        <f>M69</f>
        <v>7.6885441212253158E-2</v>
      </c>
      <c r="P97" s="98">
        <f>N69</f>
        <v>4.6323478330382528E-2</v>
      </c>
      <c r="U97" s="20"/>
      <c r="V97" s="20"/>
    </row>
    <row r="98" spans="1:22" hidden="1" outlineLevel="1" x14ac:dyDescent="0.2">
      <c r="A98" s="12"/>
      <c r="B98" s="99" t="s">
        <v>181</v>
      </c>
      <c r="C98" s="98"/>
      <c r="D98" s="98"/>
      <c r="E98" s="98"/>
      <c r="F98" s="98"/>
      <c r="G98" s="98"/>
      <c r="H98" s="98"/>
      <c r="I98" s="98"/>
      <c r="J98" s="98"/>
      <c r="K98" s="98"/>
      <c r="L98" s="98"/>
      <c r="M98" s="98"/>
      <c r="N98" s="98"/>
      <c r="O98" s="98"/>
      <c r="P98" s="98"/>
      <c r="U98" s="20"/>
      <c r="V98" s="20"/>
    </row>
    <row r="99" spans="1:22" collapsed="1" x14ac:dyDescent="0.2">
      <c r="A99" s="12" t="str">
        <f>$B$89&amp;$B$95&amp;B99</f>
        <v>Patient share - JapanSecond line of treatmentTemozolomide (Both as Combination and monotherapy)</v>
      </c>
      <c r="B99" s="22" t="s">
        <v>30</v>
      </c>
      <c r="C99" s="98">
        <v>0.19900000000000001</v>
      </c>
      <c r="D99" s="98">
        <v>0.17899999999999999</v>
      </c>
      <c r="E99" s="98">
        <v>0.17899999999999999</v>
      </c>
      <c r="F99" s="98">
        <v>0.17899999999999999</v>
      </c>
      <c r="G99" s="98">
        <v>0.17899999999999999</v>
      </c>
      <c r="H99" s="98">
        <v>0.17899999999999999</v>
      </c>
      <c r="I99" s="98">
        <f>G75</f>
        <v>0.17899999999999999</v>
      </c>
      <c r="J99" s="98">
        <f>H75</f>
        <v>0.17810499999999999</v>
      </c>
      <c r="K99" s="98">
        <f>I75</f>
        <v>0.17009027499999999</v>
      </c>
      <c r="L99" s="98">
        <f>J75</f>
        <v>0.15393169887499999</v>
      </c>
      <c r="M99" s="98">
        <f>K75</f>
        <v>0.137768870493125</v>
      </c>
      <c r="N99" s="98">
        <f>L75</f>
        <v>0.10677087463217187</v>
      </c>
      <c r="O99" s="98">
        <f>M75</f>
        <v>6.9934922884072576E-2</v>
      </c>
      <c r="P99" s="98">
        <f>N75</f>
        <v>4.300997757370463E-2</v>
      </c>
      <c r="U99" s="20"/>
      <c r="V99" s="20"/>
    </row>
    <row r="100" spans="1:22" x14ac:dyDescent="0.2">
      <c r="A100" s="12" t="str">
        <f>$B$89&amp;$B$95&amp;B100</f>
        <v>Patient share - JapanSecond line of treatmentOther Systemic therapies (Concomitant and Adjuvant Chemotherapy agents)</v>
      </c>
      <c r="B100" s="22" t="s">
        <v>29</v>
      </c>
      <c r="C100" s="98">
        <v>0.16700000000000001</v>
      </c>
      <c r="D100" s="98">
        <v>0.13700000000000001</v>
      </c>
      <c r="E100" s="98">
        <v>0.13700000000000001</v>
      </c>
      <c r="F100" s="98">
        <v>0.13700000000000001</v>
      </c>
      <c r="G100" s="98">
        <v>0.13700000000000001</v>
      </c>
      <c r="H100" s="98">
        <v>0.13700000000000001</v>
      </c>
      <c r="I100" s="98">
        <f>G76</f>
        <v>0.13700000000000001</v>
      </c>
      <c r="J100" s="98">
        <f>H76</f>
        <v>0.13631500000000002</v>
      </c>
      <c r="K100" s="98">
        <f>I76</f>
        <v>0.130180825</v>
      </c>
      <c r="L100" s="98">
        <f>J76</f>
        <v>0.12041726312500001</v>
      </c>
      <c r="M100" s="98">
        <f>K76</f>
        <v>0.10777345049687501</v>
      </c>
      <c r="N100" s="98">
        <f>L76</f>
        <v>8.3524424135078129E-2</v>
      </c>
      <c r="O100" s="98">
        <f>M76</f>
        <v>5.6378986291177741E-2</v>
      </c>
      <c r="P100" s="98">
        <f>N76</f>
        <v>3.8055815746544978E-2</v>
      </c>
      <c r="U100" s="20"/>
      <c r="V100" s="20"/>
    </row>
    <row r="101" spans="1:22" ht="14.25" customHeight="1" x14ac:dyDescent="0.2">
      <c r="A101" s="12"/>
    </row>
    <row r="102" spans="1:22" x14ac:dyDescent="0.2">
      <c r="A102" s="12"/>
      <c r="B102" s="97" t="s">
        <v>180</v>
      </c>
      <c r="H102" s="6"/>
      <c r="I102" s="6"/>
      <c r="J102" s="6"/>
      <c r="K102" s="6"/>
      <c r="L102" s="3"/>
      <c r="Q102" s="96"/>
    </row>
    <row r="103" spans="1:22" ht="24" x14ac:dyDescent="0.2">
      <c r="A103" s="12"/>
      <c r="B103" s="41" t="s">
        <v>179</v>
      </c>
      <c r="C103" s="95" t="s">
        <v>178</v>
      </c>
      <c r="D103" s="95" t="s">
        <v>177</v>
      </c>
      <c r="E103" s="95" t="s">
        <v>176</v>
      </c>
      <c r="F103" s="95" t="s">
        <v>175</v>
      </c>
      <c r="G103" s="95" t="s">
        <v>174</v>
      </c>
      <c r="H103" s="95" t="s">
        <v>173</v>
      </c>
      <c r="I103" s="95" t="s">
        <v>172</v>
      </c>
      <c r="J103" s="95" t="s">
        <v>171</v>
      </c>
      <c r="K103" s="95" t="s">
        <v>170</v>
      </c>
      <c r="L103" s="95" t="s">
        <v>169</v>
      </c>
      <c r="M103" s="95" t="s">
        <v>168</v>
      </c>
      <c r="N103" s="95" t="s">
        <v>167</v>
      </c>
      <c r="O103" s="95" t="s">
        <v>166</v>
      </c>
      <c r="P103" s="95" t="s">
        <v>165</v>
      </c>
      <c r="Q103" s="95" t="s">
        <v>164</v>
      </c>
      <c r="R103" s="95" t="s">
        <v>163</v>
      </c>
      <c r="S103" s="94" t="s">
        <v>162</v>
      </c>
    </row>
    <row r="104" spans="1:22" ht="15" customHeight="1" x14ac:dyDescent="0.2">
      <c r="A104" s="12"/>
      <c r="B104" s="17" t="s">
        <v>27</v>
      </c>
      <c r="C104" s="17" t="s">
        <v>161</v>
      </c>
      <c r="D104" s="73" t="s">
        <v>160</v>
      </c>
      <c r="E104" s="17" t="s">
        <v>60</v>
      </c>
      <c r="F104" s="83" t="s">
        <v>159</v>
      </c>
      <c r="G104" s="83" t="s">
        <v>158</v>
      </c>
      <c r="H104" s="93" t="s">
        <v>112</v>
      </c>
      <c r="I104" s="47">
        <v>2024</v>
      </c>
      <c r="J104" s="47">
        <f>I104+1</f>
        <v>2025</v>
      </c>
      <c r="K104" s="47">
        <f>J104+1</f>
        <v>2026</v>
      </c>
      <c r="L104" s="17" t="s">
        <v>64</v>
      </c>
      <c r="M104" s="10">
        <v>0.85</v>
      </c>
      <c r="N104" s="17">
        <v>6</v>
      </c>
      <c r="O104" s="88">
        <v>0.1</v>
      </c>
      <c r="P104" s="68">
        <f>M104*O104</f>
        <v>8.5000000000000006E-2</v>
      </c>
      <c r="Q104" s="17" t="s">
        <v>72</v>
      </c>
      <c r="R104" s="17" t="s">
        <v>157</v>
      </c>
      <c r="S104" s="53" t="s">
        <v>156</v>
      </c>
      <c r="T104" t="s">
        <v>69</v>
      </c>
      <c r="U104" s="92" t="s">
        <v>155</v>
      </c>
      <c r="V104" s="91"/>
    </row>
    <row r="105" spans="1:22" x14ac:dyDescent="0.2">
      <c r="A105" s="12"/>
      <c r="B105" s="17" t="s">
        <v>25</v>
      </c>
      <c r="C105" s="17" t="s">
        <v>154</v>
      </c>
      <c r="D105" s="73" t="s">
        <v>153</v>
      </c>
      <c r="E105" s="17" t="s">
        <v>137</v>
      </c>
      <c r="F105" s="17" t="s">
        <v>152</v>
      </c>
      <c r="G105" s="67" t="s">
        <v>151</v>
      </c>
      <c r="H105" s="17" t="s">
        <v>106</v>
      </c>
      <c r="I105" s="47">
        <v>2022</v>
      </c>
      <c r="J105" s="47">
        <f>I105+1</f>
        <v>2023</v>
      </c>
      <c r="K105" s="47">
        <f>J105+1</f>
        <v>2024</v>
      </c>
      <c r="L105" s="17" t="s">
        <v>64</v>
      </c>
      <c r="M105" s="90">
        <v>0.7</v>
      </c>
      <c r="N105" s="17">
        <v>6</v>
      </c>
      <c r="O105" s="88">
        <v>0.115</v>
      </c>
      <c r="P105" s="68">
        <f>M105*O105</f>
        <v>8.0500000000000002E-2</v>
      </c>
      <c r="Q105" s="17" t="s">
        <v>72</v>
      </c>
      <c r="R105" s="17" t="s">
        <v>150</v>
      </c>
      <c r="S105" s="17" t="s">
        <v>149</v>
      </c>
      <c r="T105" t="s">
        <v>148</v>
      </c>
      <c r="U105" s="85"/>
      <c r="V105" s="84"/>
    </row>
    <row r="106" spans="1:22" x14ac:dyDescent="0.2">
      <c r="A106" s="12" t="s">
        <v>147</v>
      </c>
      <c r="B106" s="17" t="s">
        <v>24</v>
      </c>
      <c r="C106" s="17" t="s">
        <v>146</v>
      </c>
      <c r="D106" s="73" t="s">
        <v>145</v>
      </c>
      <c r="E106" s="17" t="s">
        <v>137</v>
      </c>
      <c r="F106" s="83" t="s">
        <v>144</v>
      </c>
      <c r="G106" s="83" t="s">
        <v>143</v>
      </c>
      <c r="H106" s="49" t="s">
        <v>112</v>
      </c>
      <c r="I106" s="47">
        <v>2023</v>
      </c>
      <c r="J106" s="47">
        <f>I106+1</f>
        <v>2024</v>
      </c>
      <c r="K106" s="47">
        <f>J106+1</f>
        <v>2025</v>
      </c>
      <c r="L106" s="83" t="s">
        <v>64</v>
      </c>
      <c r="M106" s="89">
        <v>0.85</v>
      </c>
      <c r="N106" s="83">
        <v>6</v>
      </c>
      <c r="O106" s="88">
        <v>0.12</v>
      </c>
      <c r="P106" s="68">
        <f>M106*O106</f>
        <v>0.10199999999999999</v>
      </c>
      <c r="Q106" s="17" t="s">
        <v>56</v>
      </c>
      <c r="R106" s="17" t="s">
        <v>142</v>
      </c>
      <c r="S106" s="17" t="s">
        <v>141</v>
      </c>
      <c r="T106" s="87" t="s">
        <v>69</v>
      </c>
      <c r="U106" s="85"/>
      <c r="V106" s="84"/>
    </row>
    <row r="107" spans="1:22" x14ac:dyDescent="0.2">
      <c r="A107" s="12" t="s">
        <v>140</v>
      </c>
      <c r="B107" s="17" t="s">
        <v>23</v>
      </c>
      <c r="C107" s="17" t="s">
        <v>139</v>
      </c>
      <c r="D107" s="73" t="s">
        <v>138</v>
      </c>
      <c r="E107" s="17" t="s">
        <v>137</v>
      </c>
      <c r="F107" s="83" t="s">
        <v>59</v>
      </c>
      <c r="G107" s="86" t="s">
        <v>136</v>
      </c>
      <c r="H107" s="49" t="s">
        <v>112</v>
      </c>
      <c r="I107" s="47">
        <v>2023</v>
      </c>
      <c r="J107" s="47">
        <f>I107+1</f>
        <v>2024</v>
      </c>
      <c r="K107" s="47">
        <f>J107+1</f>
        <v>2025</v>
      </c>
      <c r="L107" s="17" t="s">
        <v>48</v>
      </c>
      <c r="M107" s="10">
        <v>0.6</v>
      </c>
      <c r="N107" s="17">
        <v>7</v>
      </c>
      <c r="O107" s="68">
        <v>0.1</v>
      </c>
      <c r="P107" s="68">
        <f>M107*O107</f>
        <v>0.06</v>
      </c>
      <c r="Q107" s="17" t="s">
        <v>56</v>
      </c>
      <c r="R107" s="17"/>
      <c r="S107" s="17" t="s">
        <v>135</v>
      </c>
      <c r="T107" t="s">
        <v>69</v>
      </c>
      <c r="U107" s="85"/>
      <c r="V107" s="84"/>
    </row>
    <row r="108" spans="1:22" x14ac:dyDescent="0.2">
      <c r="A108" s="12"/>
      <c r="B108" s="17" t="s">
        <v>22</v>
      </c>
      <c r="C108" s="17" t="s">
        <v>134</v>
      </c>
      <c r="D108" s="73" t="s">
        <v>133</v>
      </c>
      <c r="E108" s="17" t="s">
        <v>132</v>
      </c>
      <c r="F108" s="81" t="s">
        <v>131</v>
      </c>
      <c r="G108" s="83" t="s">
        <v>130</v>
      </c>
      <c r="H108" s="49" t="s">
        <v>112</v>
      </c>
      <c r="I108" s="47">
        <v>2023</v>
      </c>
      <c r="J108" s="47">
        <f>I108+1</f>
        <v>2024</v>
      </c>
      <c r="K108" s="47">
        <f>J108+1</f>
        <v>2025</v>
      </c>
      <c r="L108" s="17" t="s">
        <v>48</v>
      </c>
      <c r="M108" s="10">
        <v>0.6</v>
      </c>
      <c r="N108" s="17">
        <v>7</v>
      </c>
      <c r="O108" s="10">
        <v>0.1</v>
      </c>
      <c r="P108" s="68">
        <f>M108*O108</f>
        <v>0.06</v>
      </c>
      <c r="Q108" s="17" t="s">
        <v>72</v>
      </c>
      <c r="R108" s="17" t="s">
        <v>129</v>
      </c>
      <c r="S108" s="17"/>
      <c r="T108" t="s">
        <v>69</v>
      </c>
      <c r="U108" s="85"/>
      <c r="V108" s="84"/>
    </row>
    <row r="109" spans="1:22" x14ac:dyDescent="0.2">
      <c r="A109" s="12"/>
      <c r="B109" s="17" t="s">
        <v>21</v>
      </c>
      <c r="C109" s="17" t="s">
        <v>128</v>
      </c>
      <c r="D109" s="75" t="s">
        <v>127</v>
      </c>
      <c r="E109" s="17"/>
      <c r="F109" s="83" t="s">
        <v>126</v>
      </c>
      <c r="G109" s="82" t="s">
        <v>125</v>
      </c>
      <c r="H109" s="81" t="s">
        <v>124</v>
      </c>
      <c r="I109" s="47">
        <v>2023</v>
      </c>
      <c r="J109" s="47">
        <f>I109+1</f>
        <v>2024</v>
      </c>
      <c r="K109" s="47">
        <f>J109+1</f>
        <v>2025</v>
      </c>
      <c r="L109" s="17" t="s">
        <v>48</v>
      </c>
      <c r="M109" s="10">
        <v>0.6</v>
      </c>
      <c r="N109" s="17">
        <v>7</v>
      </c>
      <c r="O109" s="10">
        <v>0.09</v>
      </c>
      <c r="P109" s="68">
        <f>M109*O109</f>
        <v>5.3999999999999999E-2</v>
      </c>
      <c r="Q109" s="17" t="s">
        <v>72</v>
      </c>
      <c r="R109" s="17" t="s">
        <v>123</v>
      </c>
      <c r="S109" s="17" t="s">
        <v>122</v>
      </c>
      <c r="T109" t="s">
        <v>69</v>
      </c>
      <c r="U109" s="80"/>
      <c r="V109" s="79"/>
    </row>
    <row r="110" spans="1:22" ht="15" customHeight="1" x14ac:dyDescent="0.2">
      <c r="A110" s="12"/>
      <c r="B110" s="17" t="s">
        <v>20</v>
      </c>
      <c r="C110" s="17" t="s">
        <v>121</v>
      </c>
      <c r="D110" s="73" t="s">
        <v>120</v>
      </c>
      <c r="E110" s="17" t="s">
        <v>60</v>
      </c>
      <c r="F110" s="17" t="s">
        <v>119</v>
      </c>
      <c r="G110" s="78" t="s">
        <v>118</v>
      </c>
      <c r="H110" s="17" t="s">
        <v>117</v>
      </c>
      <c r="I110" s="47">
        <v>2024</v>
      </c>
      <c r="J110" s="47">
        <f>I110+1</f>
        <v>2025</v>
      </c>
      <c r="K110" s="47">
        <f>J110+1</f>
        <v>2026</v>
      </c>
      <c r="L110" s="17" t="s">
        <v>48</v>
      </c>
      <c r="M110" s="10">
        <v>0.6</v>
      </c>
      <c r="N110" s="17">
        <v>7</v>
      </c>
      <c r="O110" s="10">
        <v>8.5000000000000006E-2</v>
      </c>
      <c r="P110" s="68">
        <f>M110*O110</f>
        <v>5.1000000000000004E-2</v>
      </c>
      <c r="Q110" s="17" t="s">
        <v>72</v>
      </c>
      <c r="R110" s="17" t="s">
        <v>116</v>
      </c>
      <c r="S110" s="17" t="s">
        <v>115</v>
      </c>
      <c r="T110" t="s">
        <v>69</v>
      </c>
      <c r="U110" s="77"/>
      <c r="V110" s="76"/>
    </row>
    <row r="111" spans="1:22" ht="15" customHeight="1" x14ac:dyDescent="0.2">
      <c r="A111" s="12"/>
      <c r="B111" s="17" t="s">
        <v>19</v>
      </c>
      <c r="C111" s="17" t="s">
        <v>114</v>
      </c>
      <c r="D111" s="75" t="s">
        <v>113</v>
      </c>
      <c r="E111" s="17" t="s">
        <v>60</v>
      </c>
      <c r="F111" s="17" t="s">
        <v>59</v>
      </c>
      <c r="G111" s="17" t="s">
        <v>107</v>
      </c>
      <c r="H111" s="49" t="s">
        <v>112</v>
      </c>
      <c r="I111" s="47">
        <v>2024</v>
      </c>
      <c r="J111" s="47">
        <f>I111+1</f>
        <v>2025</v>
      </c>
      <c r="K111" s="47">
        <f>J111+1</f>
        <v>2026</v>
      </c>
      <c r="L111" s="17" t="s">
        <v>48</v>
      </c>
      <c r="M111" s="10">
        <v>0.6</v>
      </c>
      <c r="N111" s="17">
        <v>7</v>
      </c>
      <c r="O111" s="68">
        <v>0.115</v>
      </c>
      <c r="P111" s="74">
        <f>M111*O111</f>
        <v>6.9000000000000006E-2</v>
      </c>
      <c r="Q111" s="17" t="s">
        <v>56</v>
      </c>
      <c r="R111" s="17" t="s">
        <v>111</v>
      </c>
      <c r="S111" s="17" t="s">
        <v>110</v>
      </c>
      <c r="T111" t="s">
        <v>69</v>
      </c>
      <c r="U111" s="71"/>
      <c r="V111" s="70"/>
    </row>
    <row r="112" spans="1:22" ht="15" customHeight="1" x14ac:dyDescent="0.2">
      <c r="A112" s="12"/>
      <c r="B112" s="17" t="s">
        <v>18</v>
      </c>
      <c r="C112" s="17" t="s">
        <v>80</v>
      </c>
      <c r="D112" s="73" t="s">
        <v>109</v>
      </c>
      <c r="E112" s="17" t="s">
        <v>108</v>
      </c>
      <c r="F112" s="17" t="s">
        <v>59</v>
      </c>
      <c r="G112" s="17" t="s">
        <v>107</v>
      </c>
      <c r="H112" s="17" t="s">
        <v>106</v>
      </c>
      <c r="I112" s="72">
        <v>2026</v>
      </c>
      <c r="J112" s="47">
        <f>I112+1</f>
        <v>2027</v>
      </c>
      <c r="K112" s="47">
        <f>J112+1</f>
        <v>2028</v>
      </c>
      <c r="L112" s="17" t="s">
        <v>73</v>
      </c>
      <c r="M112" s="10">
        <v>0.3</v>
      </c>
      <c r="N112" s="17">
        <v>8</v>
      </c>
      <c r="O112" s="68">
        <v>6.5000000000000002E-2</v>
      </c>
      <c r="P112" s="66">
        <f>M112*O112</f>
        <v>1.95E-2</v>
      </c>
      <c r="Q112" s="17" t="s">
        <v>47</v>
      </c>
      <c r="R112" s="17" t="s">
        <v>105</v>
      </c>
      <c r="S112" s="17" t="s">
        <v>104</v>
      </c>
      <c r="T112" t="s">
        <v>69</v>
      </c>
      <c r="U112" s="71"/>
      <c r="V112" s="70"/>
    </row>
    <row r="113" spans="1:26" ht="15" customHeight="1" x14ac:dyDescent="0.2">
      <c r="A113" s="12"/>
      <c r="B113" s="17" t="s">
        <v>17</v>
      </c>
      <c r="C113" s="17" t="s">
        <v>103</v>
      </c>
      <c r="D113" s="69" t="s">
        <v>102</v>
      </c>
      <c r="E113" s="17" t="s">
        <v>60</v>
      </c>
      <c r="F113" s="17" t="s">
        <v>101</v>
      </c>
      <c r="G113" s="67" t="s">
        <v>100</v>
      </c>
      <c r="H113" s="49" t="s">
        <v>99</v>
      </c>
      <c r="I113" s="65">
        <v>2024</v>
      </c>
      <c r="J113" s="47">
        <f>I113+1</f>
        <v>2025</v>
      </c>
      <c r="K113" s="47">
        <f>J113+1</f>
        <v>2026</v>
      </c>
      <c r="L113" s="17" t="s">
        <v>48</v>
      </c>
      <c r="M113" s="10">
        <v>0.6</v>
      </c>
      <c r="N113" s="17">
        <v>7</v>
      </c>
      <c r="O113" s="10">
        <v>7.4999999999999997E-2</v>
      </c>
      <c r="P113" s="66">
        <f>M113*O113</f>
        <v>4.4999999999999998E-2</v>
      </c>
      <c r="Q113" s="17" t="s">
        <v>72</v>
      </c>
      <c r="R113" s="17" t="s">
        <v>98</v>
      </c>
      <c r="S113" s="17" t="s">
        <v>97</v>
      </c>
      <c r="T113" t="s">
        <v>69</v>
      </c>
      <c r="U113" s="71"/>
      <c r="V113" s="70"/>
    </row>
    <row r="114" spans="1:26" x14ac:dyDescent="0.2">
      <c r="A114" s="12"/>
      <c r="B114" s="17" t="s">
        <v>16</v>
      </c>
      <c r="C114" s="17" t="s">
        <v>96</v>
      </c>
      <c r="D114" s="69" t="s">
        <v>95</v>
      </c>
      <c r="E114" s="17" t="s">
        <v>94</v>
      </c>
      <c r="F114" s="68" t="s">
        <v>59</v>
      </c>
      <c r="G114" s="67" t="s">
        <v>93</v>
      </c>
      <c r="H114" s="17" t="s">
        <v>92</v>
      </c>
      <c r="I114" s="65">
        <v>2024</v>
      </c>
      <c r="J114" s="47">
        <f>I114+1</f>
        <v>2025</v>
      </c>
      <c r="K114" s="47">
        <f>J114+1</f>
        <v>2026</v>
      </c>
      <c r="L114" s="17" t="s">
        <v>48</v>
      </c>
      <c r="M114" s="10">
        <v>0.6</v>
      </c>
      <c r="N114" s="17">
        <v>7</v>
      </c>
      <c r="O114" s="10">
        <v>7.4999999999999997E-2</v>
      </c>
      <c r="P114" s="66">
        <f>M114*O114</f>
        <v>4.4999999999999998E-2</v>
      </c>
      <c r="Q114" s="17" t="s">
        <v>72</v>
      </c>
      <c r="R114" s="17" t="s">
        <v>91</v>
      </c>
      <c r="S114" s="17" t="s">
        <v>90</v>
      </c>
      <c r="T114" t="s">
        <v>69</v>
      </c>
    </row>
    <row r="115" spans="1:26" ht="15" customHeight="1" x14ac:dyDescent="0.2">
      <c r="A115" s="12" t="s">
        <v>89</v>
      </c>
      <c r="B115" s="17" t="s">
        <v>15</v>
      </c>
      <c r="C115" s="17" t="s">
        <v>88</v>
      </c>
      <c r="D115" s="62" t="s">
        <v>87</v>
      </c>
      <c r="E115" s="50" t="s">
        <v>86</v>
      </c>
      <c r="F115" s="44" t="s">
        <v>85</v>
      </c>
      <c r="G115" s="44" t="s">
        <v>84</v>
      </c>
      <c r="H115" s="49" t="s">
        <v>65</v>
      </c>
      <c r="I115" s="65">
        <v>2024</v>
      </c>
      <c r="J115" s="47">
        <f>I115+1</f>
        <v>2025</v>
      </c>
      <c r="K115" s="47">
        <f>J115+1</f>
        <v>2026</v>
      </c>
      <c r="L115" s="44" t="s">
        <v>48</v>
      </c>
      <c r="M115" s="45">
        <v>0.6</v>
      </c>
      <c r="N115" s="64">
        <v>7</v>
      </c>
      <c r="O115" s="44">
        <v>9.5000000000000001E-2</v>
      </c>
      <c r="P115" s="44">
        <f>M115*O115</f>
        <v>5.6999999999999995E-2</v>
      </c>
      <c r="Q115" s="17" t="s">
        <v>72</v>
      </c>
      <c r="R115" s="17" t="s">
        <v>83</v>
      </c>
      <c r="S115" s="17" t="s">
        <v>82</v>
      </c>
      <c r="T115" t="s">
        <v>69</v>
      </c>
      <c r="U115" s="28"/>
      <c r="V115" s="28"/>
      <c r="W115" s="27"/>
      <c r="X115" s="27"/>
      <c r="Y115" s="27"/>
      <c r="Z115" s="27"/>
    </row>
    <row r="116" spans="1:26" ht="15" customHeight="1" x14ac:dyDescent="0.2">
      <c r="A116" s="12" t="s">
        <v>81</v>
      </c>
      <c r="B116" s="17" t="s">
        <v>14</v>
      </c>
      <c r="C116" s="17" t="s">
        <v>80</v>
      </c>
      <c r="D116" s="63" t="s">
        <v>79</v>
      </c>
      <c r="E116" s="50"/>
      <c r="F116" s="44" t="s">
        <v>59</v>
      </c>
      <c r="G116" s="61" t="s">
        <v>75</v>
      </c>
      <c r="H116" s="49" t="s">
        <v>65</v>
      </c>
      <c r="I116" s="54">
        <v>2027</v>
      </c>
      <c r="J116" s="47">
        <f>I116+1</f>
        <v>2028</v>
      </c>
      <c r="K116" s="47">
        <f>J116+1</f>
        <v>2029</v>
      </c>
      <c r="L116" s="44" t="s">
        <v>48</v>
      </c>
      <c r="M116" s="45">
        <v>0.6</v>
      </c>
      <c r="N116" s="17">
        <v>7</v>
      </c>
      <c r="O116" s="44">
        <v>6.5000000000000002E-2</v>
      </c>
      <c r="P116" s="44">
        <f>M116*O116</f>
        <v>3.9E-2</v>
      </c>
      <c r="Q116" s="17" t="s">
        <v>72</v>
      </c>
      <c r="R116" s="17" t="s">
        <v>78</v>
      </c>
      <c r="S116" s="17"/>
      <c r="T116" t="s">
        <v>69</v>
      </c>
      <c r="U116" s="28"/>
      <c r="V116" s="28"/>
      <c r="W116" s="27"/>
      <c r="X116" s="27"/>
      <c r="Y116" s="27"/>
      <c r="Z116" s="27"/>
    </row>
    <row r="117" spans="1:26" ht="15" customHeight="1" x14ac:dyDescent="0.2">
      <c r="A117" s="12"/>
      <c r="B117" s="17" t="s">
        <v>13</v>
      </c>
      <c r="C117" s="17"/>
      <c r="D117" s="62" t="s">
        <v>77</v>
      </c>
      <c r="E117" s="50" t="s">
        <v>76</v>
      </c>
      <c r="F117" s="44" t="s">
        <v>59</v>
      </c>
      <c r="G117" s="61" t="s">
        <v>75</v>
      </c>
      <c r="H117" s="17" t="s">
        <v>74</v>
      </c>
      <c r="I117" s="54">
        <v>2024</v>
      </c>
      <c r="J117" s="47">
        <f>I117+1</f>
        <v>2025</v>
      </c>
      <c r="K117" s="47">
        <f>J117+1</f>
        <v>2026</v>
      </c>
      <c r="L117" s="50" t="s">
        <v>73</v>
      </c>
      <c r="M117" s="45">
        <v>0.4</v>
      </c>
      <c r="N117" s="17">
        <v>8</v>
      </c>
      <c r="O117" s="44">
        <v>8.5000000000000006E-2</v>
      </c>
      <c r="P117" s="60">
        <f>M117*O117</f>
        <v>3.4000000000000002E-2</v>
      </c>
      <c r="Q117" s="17" t="s">
        <v>72</v>
      </c>
      <c r="R117" s="53" t="s">
        <v>71</v>
      </c>
      <c r="S117" s="17" t="s">
        <v>70</v>
      </c>
      <c r="T117" t="s">
        <v>69</v>
      </c>
      <c r="U117" s="28"/>
      <c r="V117" s="28"/>
      <c r="W117" s="27"/>
      <c r="X117" s="27"/>
      <c r="Y117" s="27"/>
      <c r="Z117" s="27"/>
    </row>
    <row r="118" spans="1:26" ht="15" customHeight="1" x14ac:dyDescent="0.2">
      <c r="A118" s="12"/>
      <c r="B118" s="17" t="s">
        <v>12</v>
      </c>
      <c r="C118" s="52"/>
      <c r="D118" s="51" t="s">
        <v>68</v>
      </c>
      <c r="E118" s="50" t="s">
        <v>60</v>
      </c>
      <c r="F118" s="59" t="s">
        <v>67</v>
      </c>
      <c r="G118" s="44" t="s">
        <v>66</v>
      </c>
      <c r="H118" s="49" t="s">
        <v>65</v>
      </c>
      <c r="I118" s="58">
        <v>2021</v>
      </c>
      <c r="J118" s="47">
        <f>I118+1</f>
        <v>2022</v>
      </c>
      <c r="K118" s="47">
        <f>J118+1</f>
        <v>2023</v>
      </c>
      <c r="L118" s="44" t="s">
        <v>64</v>
      </c>
      <c r="M118" s="57">
        <v>0.9</v>
      </c>
      <c r="N118" s="56">
        <v>6</v>
      </c>
      <c r="O118" s="55">
        <v>0.1</v>
      </c>
      <c r="P118" s="45">
        <f>O118*M118</f>
        <v>9.0000000000000011E-2</v>
      </c>
      <c r="Q118" s="17" t="s">
        <v>56</v>
      </c>
      <c r="R118" s="44" t="s">
        <v>63</v>
      </c>
      <c r="S118" s="46"/>
      <c r="U118" s="28"/>
      <c r="V118" s="28"/>
      <c r="W118" s="27"/>
      <c r="X118" s="27"/>
      <c r="Y118" s="27"/>
      <c r="Z118" s="27"/>
    </row>
    <row r="119" spans="1:26" ht="15" customHeight="1" x14ac:dyDescent="0.2">
      <c r="A119" s="12"/>
      <c r="B119" s="17" t="s">
        <v>11</v>
      </c>
      <c r="C119" s="17" t="s">
        <v>62</v>
      </c>
      <c r="D119" s="50" t="s">
        <v>61</v>
      </c>
      <c r="E119" s="50" t="s">
        <v>60</v>
      </c>
      <c r="F119" s="44" t="s">
        <v>59</v>
      </c>
      <c r="G119" s="44" t="s">
        <v>58</v>
      </c>
      <c r="H119" s="17" t="s">
        <v>57</v>
      </c>
      <c r="I119" s="54">
        <v>2025</v>
      </c>
      <c r="J119" s="47">
        <f>I119+1</f>
        <v>2026</v>
      </c>
      <c r="K119" s="47">
        <f>J119+1</f>
        <v>2027</v>
      </c>
      <c r="L119" s="50" t="s">
        <v>48</v>
      </c>
      <c r="M119" s="45">
        <v>0.4</v>
      </c>
      <c r="N119" s="17">
        <v>8</v>
      </c>
      <c r="O119" s="44">
        <v>7.0000000000000007E-2</v>
      </c>
      <c r="P119" s="45">
        <f>O119*M119</f>
        <v>2.8000000000000004E-2</v>
      </c>
      <c r="Q119" s="17" t="s">
        <v>56</v>
      </c>
      <c r="R119" s="53" t="s">
        <v>55</v>
      </c>
      <c r="S119" s="17"/>
      <c r="U119" s="28"/>
      <c r="V119" s="28"/>
      <c r="W119" s="27"/>
      <c r="X119" s="27"/>
      <c r="Y119" s="27"/>
      <c r="Z119" s="27"/>
    </row>
    <row r="120" spans="1:26" ht="15" customHeight="1" x14ac:dyDescent="0.2">
      <c r="A120" s="12"/>
      <c r="B120" s="17" t="s">
        <v>10</v>
      </c>
      <c r="C120" s="52" t="s">
        <v>54</v>
      </c>
      <c r="D120" s="51" t="s">
        <v>53</v>
      </c>
      <c r="E120" s="50" t="s">
        <v>52</v>
      </c>
      <c r="F120" s="46" t="s">
        <v>51</v>
      </c>
      <c r="G120" s="44" t="s">
        <v>50</v>
      </c>
      <c r="H120" s="49" t="s">
        <v>49</v>
      </c>
      <c r="I120" s="48">
        <v>2026</v>
      </c>
      <c r="J120" s="47">
        <f>I120+1</f>
        <v>2027</v>
      </c>
      <c r="K120" s="47">
        <f>J120+1</f>
        <v>2028</v>
      </c>
      <c r="L120" s="46" t="s">
        <v>48</v>
      </c>
      <c r="M120" s="45">
        <v>0.6</v>
      </c>
      <c r="N120" s="17">
        <v>7</v>
      </c>
      <c r="O120" s="44">
        <v>0.05</v>
      </c>
      <c r="P120" s="45">
        <f>O120*M120</f>
        <v>0.03</v>
      </c>
      <c r="Q120" s="17" t="s">
        <v>47</v>
      </c>
      <c r="R120" s="44"/>
      <c r="S120" s="17"/>
      <c r="U120" s="28"/>
      <c r="V120" s="28"/>
      <c r="W120" s="27"/>
      <c r="X120" s="27"/>
      <c r="Y120" s="27"/>
      <c r="Z120" s="27"/>
    </row>
    <row r="121" spans="1:26" ht="15" customHeight="1" x14ac:dyDescent="0.2">
      <c r="A121" s="12"/>
      <c r="B121" s="43"/>
      <c r="C121" s="30"/>
      <c r="D121" s="42"/>
      <c r="E121" s="29"/>
      <c r="F121" s="28"/>
      <c r="G121" s="28"/>
      <c r="H121" s="28"/>
      <c r="I121" s="28"/>
      <c r="J121" s="28"/>
      <c r="K121" s="28"/>
      <c r="L121" s="28"/>
      <c r="M121" s="28"/>
      <c r="N121" s="28"/>
      <c r="O121" s="28"/>
      <c r="P121" s="28"/>
      <c r="Q121" s="27"/>
      <c r="S121" s="28"/>
      <c r="T121" s="28"/>
      <c r="U121" s="28"/>
      <c r="V121" s="27"/>
      <c r="W121" s="27"/>
      <c r="X121" s="27"/>
      <c r="Y121" s="27"/>
      <c r="Z121" s="27"/>
    </row>
    <row r="122" spans="1:26" ht="15" customHeight="1" x14ac:dyDescent="0.2">
      <c r="A122" s="12"/>
      <c r="B122" s="41" t="s">
        <v>46</v>
      </c>
      <c r="C122" s="41">
        <v>2017</v>
      </c>
      <c r="D122" s="41">
        <f>C122+1</f>
        <v>2018</v>
      </c>
      <c r="E122" s="41">
        <f>D122+1</f>
        <v>2019</v>
      </c>
      <c r="F122" s="41">
        <f>E122+1</f>
        <v>2020</v>
      </c>
      <c r="G122" s="41">
        <f>F122+1</f>
        <v>2021</v>
      </c>
      <c r="H122" s="41">
        <f>G122+1</f>
        <v>2022</v>
      </c>
      <c r="I122" s="41">
        <f>H122+1</f>
        <v>2023</v>
      </c>
      <c r="J122" s="41">
        <f>I122+1</f>
        <v>2024</v>
      </c>
      <c r="K122" s="41">
        <f>J122+1</f>
        <v>2025</v>
      </c>
      <c r="L122" s="41">
        <f>K122+1</f>
        <v>2026</v>
      </c>
      <c r="M122" s="41">
        <f>L122+1</f>
        <v>2027</v>
      </c>
      <c r="N122" s="41">
        <f>M122+1</f>
        <v>2028</v>
      </c>
      <c r="O122" s="41">
        <f>N122+1</f>
        <v>2029</v>
      </c>
      <c r="P122" s="41">
        <f>O122+1</f>
        <v>2030</v>
      </c>
      <c r="S122" s="28"/>
      <c r="T122" s="28"/>
      <c r="U122" s="28"/>
      <c r="V122" s="27"/>
      <c r="W122" s="27"/>
      <c r="X122" s="27"/>
      <c r="Y122" s="27"/>
      <c r="Z122" s="27"/>
    </row>
    <row r="123" spans="1:26" ht="15" customHeight="1" x14ac:dyDescent="0.2">
      <c r="A123" s="12" t="str">
        <f>$N104&amp;$Q104</f>
        <v>6Medium</v>
      </c>
      <c r="B123" s="17" t="s">
        <v>27</v>
      </c>
      <c r="C123" s="38">
        <v>0</v>
      </c>
      <c r="D123" s="38">
        <v>0</v>
      </c>
      <c r="E123" s="38">
        <v>0</v>
      </c>
      <c r="F123" s="38">
        <v>0</v>
      </c>
      <c r="G123" s="38">
        <v>0</v>
      </c>
      <c r="H123" s="38">
        <v>0</v>
      </c>
      <c r="I123" s="38">
        <v>0</v>
      </c>
      <c r="J123" s="38">
        <v>2.116787658395676E-2</v>
      </c>
      <c r="K123" s="38">
        <v>0.10083682835568897</v>
      </c>
      <c r="L123" s="38">
        <v>0.33102660738999551</v>
      </c>
      <c r="M123" s="38">
        <v>0.68586754784650406</v>
      </c>
      <c r="N123" s="38">
        <v>0.91884707090969253</v>
      </c>
      <c r="O123" s="38">
        <v>1</v>
      </c>
      <c r="P123" s="38">
        <v>1</v>
      </c>
      <c r="S123" s="28"/>
      <c r="T123" s="28"/>
      <c r="U123" s="28"/>
      <c r="V123" s="27"/>
      <c r="W123" s="27"/>
      <c r="X123" s="27"/>
      <c r="Y123" s="27"/>
      <c r="Z123" s="27"/>
    </row>
    <row r="124" spans="1:26" ht="15" customHeight="1" x14ac:dyDescent="0.2">
      <c r="A124" s="12" t="str">
        <f>$N105&amp;$Q105</f>
        <v>6Medium</v>
      </c>
      <c r="B124" s="39" t="s">
        <v>25</v>
      </c>
      <c r="C124" s="38">
        <v>0</v>
      </c>
      <c r="D124" s="38">
        <v>0</v>
      </c>
      <c r="E124" s="38">
        <v>0</v>
      </c>
      <c r="F124" s="38">
        <v>0</v>
      </c>
      <c r="G124" s="38">
        <v>0</v>
      </c>
      <c r="H124" s="38">
        <v>2.116787658395676E-2</v>
      </c>
      <c r="I124" s="38">
        <v>0.10083682835568897</v>
      </c>
      <c r="J124" s="38">
        <v>0.33102660738999551</v>
      </c>
      <c r="K124" s="38">
        <v>0.68586754784650406</v>
      </c>
      <c r="L124" s="38">
        <v>0.91884707090969253</v>
      </c>
      <c r="M124" s="38">
        <v>1</v>
      </c>
      <c r="N124" s="38">
        <v>1</v>
      </c>
      <c r="O124" s="38">
        <v>1</v>
      </c>
      <c r="P124" s="38">
        <v>1</v>
      </c>
      <c r="S124" s="28"/>
      <c r="T124" s="28"/>
      <c r="U124" s="28"/>
      <c r="V124" s="27"/>
      <c r="W124" s="27"/>
      <c r="X124" s="27"/>
      <c r="Y124" s="27"/>
      <c r="Z124" s="27"/>
    </row>
    <row r="125" spans="1:26" ht="15" customHeight="1" x14ac:dyDescent="0.2">
      <c r="A125" s="12" t="str">
        <f>$N106&amp;$Q106</f>
        <v>6Medium-fast</v>
      </c>
      <c r="B125" s="40" t="s">
        <v>24</v>
      </c>
      <c r="C125" s="38">
        <v>0</v>
      </c>
      <c r="D125" s="38">
        <v>0</v>
      </c>
      <c r="E125" s="38">
        <v>0</v>
      </c>
      <c r="F125" s="38">
        <v>0</v>
      </c>
      <c r="G125" s="38">
        <v>0</v>
      </c>
      <c r="H125" s="38">
        <v>0</v>
      </c>
      <c r="I125" s="38">
        <v>5.9132942635381498E-2</v>
      </c>
      <c r="J125" s="38">
        <v>0.24580745457811104</v>
      </c>
      <c r="K125" s="38">
        <v>0.58984294646478741</v>
      </c>
      <c r="L125" s="38">
        <v>0.86386053582752387</v>
      </c>
      <c r="M125" s="38">
        <v>0.97050643725472696</v>
      </c>
      <c r="N125" s="38">
        <v>1</v>
      </c>
      <c r="O125" s="38">
        <v>1</v>
      </c>
      <c r="P125" s="38">
        <v>1</v>
      </c>
      <c r="S125" s="28"/>
      <c r="T125" s="28"/>
      <c r="U125" s="28"/>
      <c r="V125" s="27"/>
      <c r="W125" s="27"/>
      <c r="X125" s="27"/>
      <c r="Y125" s="27"/>
      <c r="Z125" s="27"/>
    </row>
    <row r="126" spans="1:26" ht="15" customHeight="1" x14ac:dyDescent="0.2">
      <c r="A126" s="12" t="str">
        <f>$N107&amp;$Q107</f>
        <v>7Medium-fast</v>
      </c>
      <c r="B126" s="17" t="s">
        <v>23</v>
      </c>
      <c r="C126" s="38">
        <v>0</v>
      </c>
      <c r="D126" s="38">
        <v>0</v>
      </c>
      <c r="E126" s="38">
        <v>0</v>
      </c>
      <c r="F126" s="38">
        <v>0</v>
      </c>
      <c r="G126" s="38">
        <v>0</v>
      </c>
      <c r="H126" s="38">
        <v>0</v>
      </c>
      <c r="I126" s="38">
        <v>4.693318052601364E-2</v>
      </c>
      <c r="J126" s="38">
        <v>0.18128703431986021</v>
      </c>
      <c r="K126" s="38">
        <v>0.45240163696019975</v>
      </c>
      <c r="L126" s="38">
        <v>0.74896580496179133</v>
      </c>
      <c r="M126" s="38">
        <v>0.91757037452702395</v>
      </c>
      <c r="N126" s="38">
        <v>0.9804127063397523</v>
      </c>
      <c r="O126" s="38">
        <v>1</v>
      </c>
      <c r="P126" s="38">
        <v>1</v>
      </c>
      <c r="S126" s="28"/>
      <c r="T126" s="28"/>
      <c r="U126" s="28"/>
      <c r="V126" s="27"/>
      <c r="W126" s="27"/>
      <c r="X126" s="27"/>
      <c r="Y126" s="27"/>
      <c r="Z126" s="27"/>
    </row>
    <row r="127" spans="1:26" ht="15" customHeight="1" x14ac:dyDescent="0.2">
      <c r="A127" s="12" t="str">
        <f>$N108&amp;$Q108</f>
        <v>7Medium</v>
      </c>
      <c r="B127" s="40" t="s">
        <v>22</v>
      </c>
      <c r="C127" s="38">
        <v>0</v>
      </c>
      <c r="D127" s="38">
        <v>0</v>
      </c>
      <c r="E127" s="38">
        <v>0</v>
      </c>
      <c r="F127" s="38">
        <v>0</v>
      </c>
      <c r="G127" s="38">
        <v>0</v>
      </c>
      <c r="H127" s="38">
        <v>0</v>
      </c>
      <c r="I127" s="38">
        <v>1.6613035270049224E-2</v>
      </c>
      <c r="J127" s="38">
        <v>7.0600143097547613E-2</v>
      </c>
      <c r="K127" s="38">
        <v>0.22083161673413995</v>
      </c>
      <c r="L127" s="38">
        <v>0.50581204442281513</v>
      </c>
      <c r="M127" s="38">
        <v>0.79247833705035475</v>
      </c>
      <c r="N127" s="38">
        <v>0.94496807124555227</v>
      </c>
      <c r="O127" s="38">
        <v>1</v>
      </c>
      <c r="P127" s="38">
        <v>1</v>
      </c>
      <c r="S127" s="28"/>
      <c r="T127" s="28"/>
      <c r="U127" s="28"/>
      <c r="V127" s="27"/>
      <c r="W127" s="27"/>
      <c r="X127" s="27"/>
      <c r="Y127" s="27"/>
      <c r="Z127" s="27"/>
    </row>
    <row r="128" spans="1:26" ht="15" customHeight="1" x14ac:dyDescent="0.2">
      <c r="A128" s="12" t="str">
        <f>$N109&amp;$Q109</f>
        <v>7Medium</v>
      </c>
      <c r="B128" s="17" t="s">
        <v>21</v>
      </c>
      <c r="C128" s="38">
        <v>0</v>
      </c>
      <c r="D128" s="38">
        <v>0</v>
      </c>
      <c r="E128" s="38">
        <v>0</v>
      </c>
      <c r="F128" s="38">
        <v>0</v>
      </c>
      <c r="G128" s="38">
        <v>0</v>
      </c>
      <c r="H128" s="38">
        <v>0</v>
      </c>
      <c r="I128" s="38">
        <v>1.6613035270049224E-2</v>
      </c>
      <c r="J128" s="38">
        <v>7.0600143097547613E-2</v>
      </c>
      <c r="K128" s="38">
        <v>0.22083161673413995</v>
      </c>
      <c r="L128" s="38">
        <v>0.50581204442281513</v>
      </c>
      <c r="M128" s="38">
        <v>0.79247833705035475</v>
      </c>
      <c r="N128" s="38">
        <v>0.94496807124555227</v>
      </c>
      <c r="O128" s="38">
        <v>1</v>
      </c>
      <c r="P128" s="38">
        <v>1</v>
      </c>
      <c r="S128" s="28"/>
      <c r="T128" s="28"/>
      <c r="U128" s="28"/>
      <c r="V128" s="27"/>
      <c r="W128" s="27"/>
      <c r="X128" s="27"/>
      <c r="Y128" s="27"/>
      <c r="Z128" s="27"/>
    </row>
    <row r="129" spans="1:26" ht="15" customHeight="1" x14ac:dyDescent="0.2">
      <c r="A129" s="12" t="str">
        <f>$N110&amp;$Q110</f>
        <v>7Medium</v>
      </c>
      <c r="B129" s="17" t="s">
        <v>20</v>
      </c>
      <c r="C129" s="38">
        <v>0</v>
      </c>
      <c r="D129" s="38">
        <v>0</v>
      </c>
      <c r="E129" s="38">
        <v>0</v>
      </c>
      <c r="F129" s="38">
        <v>0</v>
      </c>
      <c r="G129" s="38">
        <v>0</v>
      </c>
      <c r="H129" s="38">
        <v>0</v>
      </c>
      <c r="I129" s="38">
        <v>0</v>
      </c>
      <c r="J129" s="38">
        <v>1.6613035270049224E-2</v>
      </c>
      <c r="K129" s="38">
        <v>7.0600143097547613E-2</v>
      </c>
      <c r="L129" s="38">
        <v>0.22083161673413995</v>
      </c>
      <c r="M129" s="38">
        <v>0.50581204442281513</v>
      </c>
      <c r="N129" s="38">
        <v>0.79247833705035475</v>
      </c>
      <c r="O129" s="38">
        <v>0.94496807124555227</v>
      </c>
      <c r="P129" s="38">
        <v>1</v>
      </c>
      <c r="S129" s="28"/>
      <c r="T129" s="28"/>
      <c r="U129" s="28"/>
      <c r="V129" s="27"/>
      <c r="W129" s="27"/>
      <c r="X129" s="27"/>
      <c r="Y129" s="27"/>
      <c r="Z129" s="27"/>
    </row>
    <row r="130" spans="1:26" ht="15" customHeight="1" x14ac:dyDescent="0.2">
      <c r="A130" s="12" t="str">
        <f>$N111&amp;$Q111</f>
        <v>7Medium-fast</v>
      </c>
      <c r="B130" s="40" t="s">
        <v>19</v>
      </c>
      <c r="C130" s="38">
        <v>0</v>
      </c>
      <c r="D130" s="38">
        <v>0</v>
      </c>
      <c r="E130" s="38">
        <v>0</v>
      </c>
      <c r="F130" s="38">
        <v>0</v>
      </c>
      <c r="G130" s="38">
        <v>0</v>
      </c>
      <c r="H130" s="38">
        <v>0</v>
      </c>
      <c r="I130" s="38">
        <v>0</v>
      </c>
      <c r="J130" s="38">
        <v>4.693318052601364E-2</v>
      </c>
      <c r="K130" s="38">
        <v>0.18128703431986021</v>
      </c>
      <c r="L130" s="38">
        <v>0.45240163696019975</v>
      </c>
      <c r="M130" s="38">
        <v>0.74896580496179133</v>
      </c>
      <c r="N130" s="38">
        <v>0.91757037452702395</v>
      </c>
      <c r="O130" s="38">
        <v>0.9804127063397523</v>
      </c>
      <c r="P130" s="38">
        <v>1</v>
      </c>
      <c r="S130" s="28"/>
      <c r="T130" s="28"/>
      <c r="U130" s="28"/>
      <c r="V130" s="27"/>
      <c r="W130" s="27"/>
      <c r="X130" s="27"/>
      <c r="Y130" s="27"/>
      <c r="Z130" s="27"/>
    </row>
    <row r="131" spans="1:26" ht="15" customHeight="1" x14ac:dyDescent="0.2">
      <c r="A131" s="12" t="str">
        <f>$N112&amp;$Q112</f>
        <v>8Slow-medium</v>
      </c>
      <c r="B131" s="40" t="s">
        <v>18</v>
      </c>
      <c r="C131" s="38">
        <v>0</v>
      </c>
      <c r="D131" s="38">
        <v>0</v>
      </c>
      <c r="E131" s="38">
        <v>0</v>
      </c>
      <c r="F131" s="38">
        <v>0</v>
      </c>
      <c r="G131" s="38">
        <v>0</v>
      </c>
      <c r="H131" s="38">
        <v>0</v>
      </c>
      <c r="I131" s="38">
        <v>0</v>
      </c>
      <c r="J131" s="38">
        <v>0</v>
      </c>
      <c r="K131" s="38">
        <v>0</v>
      </c>
      <c r="L131" s="38">
        <v>5.3355800384007977E-3</v>
      </c>
      <c r="M131" s="38">
        <v>2.1217766553456717E-2</v>
      </c>
      <c r="N131" s="38">
        <v>6.6646388662293957E-2</v>
      </c>
      <c r="O131" s="38">
        <v>0.18304982669764955</v>
      </c>
      <c r="P131" s="38">
        <v>0.41283541687993441</v>
      </c>
      <c r="S131" s="28"/>
      <c r="T131" s="28"/>
      <c r="U131" s="28"/>
      <c r="V131" s="27"/>
      <c r="W131" s="27"/>
      <c r="X131" s="27"/>
      <c r="Y131" s="27"/>
      <c r="Z131" s="27"/>
    </row>
    <row r="132" spans="1:26" x14ac:dyDescent="0.2">
      <c r="A132" s="12" t="str">
        <f>$N113&amp;$Q113</f>
        <v>7Medium</v>
      </c>
      <c r="B132" s="39" t="s">
        <v>17</v>
      </c>
      <c r="C132" s="38">
        <v>0</v>
      </c>
      <c r="D132" s="38">
        <v>0</v>
      </c>
      <c r="E132" s="38">
        <v>0</v>
      </c>
      <c r="F132" s="38">
        <v>0</v>
      </c>
      <c r="G132" s="38">
        <v>0</v>
      </c>
      <c r="H132" s="38">
        <v>0</v>
      </c>
      <c r="I132" s="38">
        <v>0</v>
      </c>
      <c r="J132" s="38">
        <v>1.6613035270049224E-2</v>
      </c>
      <c r="K132" s="38">
        <v>7.0600143097547613E-2</v>
      </c>
      <c r="L132" s="38">
        <v>0.22083161673413995</v>
      </c>
      <c r="M132" s="38">
        <v>0.50581204442281513</v>
      </c>
      <c r="N132" s="38">
        <v>0.79247833705035475</v>
      </c>
      <c r="O132" s="38">
        <v>0.94496807124555227</v>
      </c>
      <c r="P132" s="38">
        <v>1</v>
      </c>
      <c r="S132" s="28"/>
      <c r="T132" s="28"/>
      <c r="U132" s="28"/>
      <c r="V132" s="27"/>
      <c r="W132" s="27"/>
      <c r="X132" s="27"/>
      <c r="Y132" s="27"/>
      <c r="Z132" s="27"/>
    </row>
    <row r="133" spans="1:26" ht="15" customHeight="1" x14ac:dyDescent="0.2">
      <c r="A133" s="12" t="str">
        <f>$N114&amp;$Q114</f>
        <v>7Medium</v>
      </c>
      <c r="B133" s="39" t="s">
        <v>16</v>
      </c>
      <c r="C133" s="38">
        <v>0</v>
      </c>
      <c r="D133" s="38">
        <v>0</v>
      </c>
      <c r="E133" s="38">
        <v>0</v>
      </c>
      <c r="F133" s="38">
        <v>0</v>
      </c>
      <c r="G133" s="38">
        <v>0</v>
      </c>
      <c r="H133" s="38">
        <v>0</v>
      </c>
      <c r="I133" s="38">
        <v>0</v>
      </c>
      <c r="J133" s="38">
        <v>1.6613035270049224E-2</v>
      </c>
      <c r="K133" s="38">
        <v>7.0600143097547613E-2</v>
      </c>
      <c r="L133" s="38">
        <v>0.22083161673413995</v>
      </c>
      <c r="M133" s="38">
        <v>0.50581204442281513</v>
      </c>
      <c r="N133" s="38">
        <v>0.79247833705035475</v>
      </c>
      <c r="O133" s="38">
        <v>0.94496807124555227</v>
      </c>
      <c r="P133" s="38">
        <v>1</v>
      </c>
      <c r="S133" s="28"/>
      <c r="T133" s="28"/>
      <c r="U133" s="28"/>
      <c r="V133" s="27"/>
      <c r="W133" s="27"/>
      <c r="X133" s="27"/>
      <c r="Y133" s="27"/>
      <c r="Z133" s="27"/>
    </row>
    <row r="134" spans="1:26" ht="15" customHeight="1" x14ac:dyDescent="0.2">
      <c r="A134" s="12" t="str">
        <f>$N115&amp;$Q115</f>
        <v>7Medium</v>
      </c>
      <c r="B134" s="17" t="s">
        <v>15</v>
      </c>
      <c r="C134" s="38">
        <v>0</v>
      </c>
      <c r="D134" s="38">
        <v>0</v>
      </c>
      <c r="E134" s="38">
        <v>0</v>
      </c>
      <c r="F134" s="38">
        <v>0</v>
      </c>
      <c r="G134" s="38">
        <v>0</v>
      </c>
      <c r="H134" s="38">
        <v>0</v>
      </c>
      <c r="I134" s="38">
        <v>0</v>
      </c>
      <c r="J134" s="38">
        <v>1.6613035270049224E-2</v>
      </c>
      <c r="K134" s="38">
        <v>7.0600143097547613E-2</v>
      </c>
      <c r="L134" s="38">
        <v>0.22083161673413995</v>
      </c>
      <c r="M134" s="38">
        <v>0.50581204442281513</v>
      </c>
      <c r="N134" s="38">
        <v>0.79247833705035475</v>
      </c>
      <c r="O134" s="38">
        <v>0.94496807124555227</v>
      </c>
      <c r="P134" s="38">
        <v>1</v>
      </c>
      <c r="S134" s="28"/>
      <c r="T134" s="28"/>
      <c r="U134" s="28"/>
      <c r="V134" s="27"/>
      <c r="W134" s="27"/>
      <c r="X134" s="27"/>
      <c r="Y134" s="27"/>
      <c r="Z134" s="27"/>
    </row>
    <row r="135" spans="1:26" ht="15" customHeight="1" x14ac:dyDescent="0.2">
      <c r="A135" s="12" t="str">
        <f>$N116&amp;$Q116</f>
        <v>7Medium</v>
      </c>
      <c r="B135" s="39" t="s">
        <v>14</v>
      </c>
      <c r="C135" s="38">
        <v>0</v>
      </c>
      <c r="D135" s="38">
        <v>0</v>
      </c>
      <c r="E135" s="38">
        <v>0</v>
      </c>
      <c r="F135" s="38">
        <v>0</v>
      </c>
      <c r="G135" s="38">
        <v>0</v>
      </c>
      <c r="H135" s="38">
        <v>0</v>
      </c>
      <c r="I135" s="38">
        <v>0</v>
      </c>
      <c r="J135" s="38">
        <v>0</v>
      </c>
      <c r="K135" s="38">
        <v>0</v>
      </c>
      <c r="L135" s="38">
        <v>0</v>
      </c>
      <c r="M135" s="38">
        <v>1.6613035270049224E-2</v>
      </c>
      <c r="N135" s="38">
        <v>7.0600143097547613E-2</v>
      </c>
      <c r="O135" s="38">
        <v>0.22083161673413995</v>
      </c>
      <c r="P135" s="38">
        <v>0.50581204442281513</v>
      </c>
      <c r="S135" s="28"/>
      <c r="T135" s="28"/>
      <c r="U135" s="28"/>
      <c r="V135" s="27"/>
      <c r="W135" s="27"/>
      <c r="X135" s="27"/>
      <c r="Y135" s="27"/>
      <c r="Z135" s="27"/>
    </row>
    <row r="136" spans="1:26" ht="15" customHeight="1" x14ac:dyDescent="0.2">
      <c r="A136" s="12" t="str">
        <f>$N117&amp;$Q117</f>
        <v>8Medium</v>
      </c>
      <c r="B136" s="39" t="s">
        <v>13</v>
      </c>
      <c r="C136" s="38">
        <v>0</v>
      </c>
      <c r="D136" s="38">
        <v>0</v>
      </c>
      <c r="E136" s="38">
        <v>0</v>
      </c>
      <c r="F136" s="38">
        <v>0</v>
      </c>
      <c r="G136" s="38">
        <v>0</v>
      </c>
      <c r="H136" s="38">
        <v>0</v>
      </c>
      <c r="I136" s="38">
        <v>0</v>
      </c>
      <c r="J136" s="38">
        <v>1.3592550235706435E-2</v>
      </c>
      <c r="K136" s="38">
        <v>5.2749457685783215E-2</v>
      </c>
      <c r="L136" s="38">
        <v>0.15499848222790721</v>
      </c>
      <c r="M136" s="38">
        <v>0.36531715127664582</v>
      </c>
      <c r="N136" s="38">
        <v>0.64364135607197381</v>
      </c>
      <c r="O136" s="38">
        <v>0.85610276865157831</v>
      </c>
      <c r="P136" s="38">
        <v>0.96006809399713677</v>
      </c>
      <c r="S136" s="28"/>
      <c r="T136" s="28"/>
      <c r="U136" s="28"/>
      <c r="V136" s="27"/>
      <c r="W136" s="27"/>
      <c r="X136" s="27"/>
      <c r="Y136" s="27"/>
      <c r="Z136" s="27"/>
    </row>
    <row r="137" spans="1:26" ht="15" customHeight="1" x14ac:dyDescent="0.2">
      <c r="A137" s="12" t="str">
        <f>$N118&amp;$Q118</f>
        <v>6Medium-fast</v>
      </c>
      <c r="B137" s="17" t="s">
        <v>12</v>
      </c>
      <c r="C137" s="38">
        <v>0</v>
      </c>
      <c r="D137" s="38">
        <v>0</v>
      </c>
      <c r="E137" s="38">
        <v>0</v>
      </c>
      <c r="F137" s="38">
        <v>0</v>
      </c>
      <c r="G137" s="38">
        <v>5.9132942635381498E-2</v>
      </c>
      <c r="H137" s="38">
        <v>0.24580745457811104</v>
      </c>
      <c r="I137" s="38">
        <v>0.58984294646478741</v>
      </c>
      <c r="J137" s="38">
        <v>0.86386053582752387</v>
      </c>
      <c r="K137" s="38">
        <v>0.97050643725472696</v>
      </c>
      <c r="L137" s="38">
        <v>1</v>
      </c>
      <c r="M137" s="38">
        <v>1</v>
      </c>
      <c r="N137" s="38">
        <v>1</v>
      </c>
      <c r="O137" s="38">
        <v>1</v>
      </c>
      <c r="P137" s="38">
        <v>1</v>
      </c>
      <c r="S137" s="28"/>
      <c r="T137" s="28"/>
      <c r="U137" s="28"/>
      <c r="V137" s="27"/>
      <c r="W137" s="27"/>
      <c r="X137" s="27"/>
      <c r="Y137" s="27"/>
      <c r="Z137" s="27"/>
    </row>
    <row r="138" spans="1:26" ht="15" customHeight="1" x14ac:dyDescent="0.2">
      <c r="A138" s="12" t="str">
        <f>$N119&amp;$Q119</f>
        <v>8Medium-fast</v>
      </c>
      <c r="B138" s="17" t="s">
        <v>11</v>
      </c>
      <c r="C138" s="38">
        <v>0</v>
      </c>
      <c r="D138" s="38">
        <v>0</v>
      </c>
      <c r="E138" s="38">
        <v>0</v>
      </c>
      <c r="F138" s="38">
        <v>0</v>
      </c>
      <c r="G138" s="38">
        <v>0</v>
      </c>
      <c r="H138" s="38">
        <v>0</v>
      </c>
      <c r="I138" s="38">
        <v>0</v>
      </c>
      <c r="J138" s="38">
        <v>0</v>
      </c>
      <c r="K138" s="38">
        <v>3.8690686435318943E-2</v>
      </c>
      <c r="L138" s="38">
        <v>0.13989530418411908</v>
      </c>
      <c r="M138" s="38">
        <v>0.34885573035180484</v>
      </c>
      <c r="N138" s="38">
        <v>0.62702868733986972</v>
      </c>
      <c r="O138" s="38">
        <v>0.84064758661674699</v>
      </c>
      <c r="P138" s="38">
        <v>0.94558383944923496</v>
      </c>
      <c r="S138" s="28"/>
      <c r="T138" s="28"/>
      <c r="U138" s="28"/>
      <c r="V138" s="27"/>
      <c r="W138" s="27"/>
      <c r="X138" s="27"/>
      <c r="Y138" s="27"/>
      <c r="Z138" s="27"/>
    </row>
    <row r="139" spans="1:26" ht="15" customHeight="1" x14ac:dyDescent="0.2">
      <c r="A139" s="12" t="str">
        <f>$N120&amp;$Q120</f>
        <v>7Slow-medium</v>
      </c>
      <c r="B139" s="17" t="s">
        <v>10</v>
      </c>
      <c r="C139" s="38">
        <v>0</v>
      </c>
      <c r="D139" s="38">
        <v>0</v>
      </c>
      <c r="E139" s="38">
        <v>0</v>
      </c>
      <c r="F139" s="38">
        <v>0</v>
      </c>
      <c r="G139" s="38">
        <v>0</v>
      </c>
      <c r="H139" s="38">
        <v>0</v>
      </c>
      <c r="I139" s="38">
        <v>0</v>
      </c>
      <c r="J139" s="38">
        <v>0</v>
      </c>
      <c r="K139" s="38">
        <v>0</v>
      </c>
      <c r="L139" s="38">
        <v>6.5642509771338302E-3</v>
      </c>
      <c r="M139" s="38">
        <v>2.8854150449830487E-2</v>
      </c>
      <c r="N139" s="38">
        <v>9.9791570838154611E-2</v>
      </c>
      <c r="O139" s="38">
        <v>0.2858824850411727</v>
      </c>
      <c r="P139" s="38">
        <v>0.59897918420270502</v>
      </c>
      <c r="S139" s="28"/>
      <c r="T139" s="28"/>
      <c r="U139" s="28"/>
      <c r="V139" s="27"/>
      <c r="W139" s="27"/>
      <c r="X139" s="27"/>
      <c r="Y139" s="27"/>
      <c r="Z139" s="27"/>
    </row>
    <row r="140" spans="1:26" ht="15" customHeight="1" x14ac:dyDescent="0.2">
      <c r="A140" s="12" t="str">
        <f>$N121&amp;$Q121</f>
        <v/>
      </c>
      <c r="C140" s="30"/>
      <c r="D140" s="29"/>
      <c r="E140" s="29"/>
      <c r="F140" s="28"/>
      <c r="G140" s="28"/>
      <c r="H140" s="28"/>
      <c r="I140" s="28"/>
      <c r="J140" s="28"/>
      <c r="K140" s="28"/>
      <c r="L140" s="28"/>
      <c r="M140" s="28"/>
      <c r="N140" s="28"/>
      <c r="O140" s="28"/>
      <c r="P140" s="28"/>
      <c r="S140" s="28"/>
      <c r="T140" s="28"/>
      <c r="U140" s="28"/>
      <c r="V140" s="27"/>
      <c r="W140" s="27"/>
      <c r="X140" s="27"/>
      <c r="Y140" s="27"/>
      <c r="Z140" s="27"/>
    </row>
    <row r="141" spans="1:26" ht="15" customHeight="1" x14ac:dyDescent="0.2">
      <c r="A141" s="12"/>
      <c r="B141" s="41" t="s">
        <v>45</v>
      </c>
      <c r="C141" s="41">
        <v>2017</v>
      </c>
      <c r="D141" s="41">
        <f>C141+1</f>
        <v>2018</v>
      </c>
      <c r="E141" s="41">
        <f>D141+1</f>
        <v>2019</v>
      </c>
      <c r="F141" s="41">
        <f>E141+1</f>
        <v>2020</v>
      </c>
      <c r="G141" s="41">
        <f>F141+1</f>
        <v>2021</v>
      </c>
      <c r="H141" s="41">
        <f>G141+1</f>
        <v>2022</v>
      </c>
      <c r="I141" s="41">
        <f>H141+1</f>
        <v>2023</v>
      </c>
      <c r="J141" s="41">
        <f>I141+1</f>
        <v>2024</v>
      </c>
      <c r="K141" s="41">
        <f>J141+1</f>
        <v>2025</v>
      </c>
      <c r="L141" s="41">
        <f>K141+1</f>
        <v>2026</v>
      </c>
      <c r="M141" s="41">
        <f>L141+1</f>
        <v>2027</v>
      </c>
      <c r="N141" s="41">
        <f>M141+1</f>
        <v>2028</v>
      </c>
      <c r="O141" s="41">
        <f>N141+1</f>
        <v>2029</v>
      </c>
      <c r="P141" s="41">
        <f>O141+1</f>
        <v>2030</v>
      </c>
      <c r="S141" s="28"/>
      <c r="T141" s="28"/>
      <c r="U141" s="28"/>
      <c r="V141" s="27"/>
      <c r="W141" s="27"/>
      <c r="X141" s="27"/>
      <c r="Y141" s="27"/>
      <c r="Z141" s="27"/>
    </row>
    <row r="142" spans="1:26" ht="15" customHeight="1" x14ac:dyDescent="0.2">
      <c r="A142" s="12" t="str">
        <f>$B$141&amp;B142</f>
        <v>Emerging Drug Uptake:USRegorafenib</v>
      </c>
      <c r="B142" s="17" t="s">
        <v>27</v>
      </c>
      <c r="C142" s="38">
        <f>C123*$P104</f>
        <v>0</v>
      </c>
      <c r="D142" s="38">
        <f>D123*$P$104</f>
        <v>0</v>
      </c>
      <c r="E142" s="38">
        <f>E123*$P$104</f>
        <v>0</v>
      </c>
      <c r="F142" s="38">
        <f>F123*$P$104</f>
        <v>0</v>
      </c>
      <c r="G142" s="38">
        <f>G123*$P$104</f>
        <v>0</v>
      </c>
      <c r="H142" s="38">
        <f>H123*$P$104</f>
        <v>0</v>
      </c>
      <c r="I142" s="38">
        <f>I123*$P$104</f>
        <v>0</v>
      </c>
      <c r="J142" s="38">
        <f>J123*$P$104</f>
        <v>1.7992695096363247E-3</v>
      </c>
      <c r="K142" s="38">
        <f>K123*$P$104</f>
        <v>8.5711304102335621E-3</v>
      </c>
      <c r="L142" s="38">
        <f>L123*$P$104</f>
        <v>2.8137261628149619E-2</v>
      </c>
      <c r="M142" s="38">
        <f>M123*$P$104</f>
        <v>5.8298741566952847E-2</v>
      </c>
      <c r="N142" s="38">
        <f>N123*$P$104</f>
        <v>7.810200102732387E-2</v>
      </c>
      <c r="O142" s="38">
        <f>O123*$P$104</f>
        <v>8.5000000000000006E-2</v>
      </c>
      <c r="P142" s="38">
        <f>P123*$P$104</f>
        <v>8.5000000000000006E-2</v>
      </c>
      <c r="S142" s="28"/>
      <c r="T142" s="28"/>
      <c r="U142" s="28"/>
      <c r="V142" s="27"/>
      <c r="W142" s="27"/>
      <c r="X142" s="27"/>
      <c r="Y142" s="27"/>
      <c r="Z142" s="27"/>
    </row>
    <row r="143" spans="1:26" ht="15" customHeight="1" x14ac:dyDescent="0.2">
      <c r="A143" s="12" t="str">
        <f>$B$141&amp;B143</f>
        <v>Emerging Drug Uptake:USTrans Sodium Crocetinate </v>
      </c>
      <c r="B143" s="39" t="s">
        <v>25</v>
      </c>
      <c r="C143" s="38">
        <f>C124*$P105</f>
        <v>0</v>
      </c>
      <c r="D143" s="38">
        <f>D124*$P105</f>
        <v>0</v>
      </c>
      <c r="E143" s="38">
        <f>E124*$P105</f>
        <v>0</v>
      </c>
      <c r="F143" s="38">
        <f>F124*$P105</f>
        <v>0</v>
      </c>
      <c r="G143" s="38">
        <f>G124*$P105</f>
        <v>0</v>
      </c>
      <c r="H143" s="38">
        <f>H124*$P105</f>
        <v>1.7040140650085192E-3</v>
      </c>
      <c r="I143" s="38">
        <f>I124*$P105</f>
        <v>8.1173646826329625E-3</v>
      </c>
      <c r="J143" s="38">
        <f>J124*$P105</f>
        <v>2.6647641894894641E-2</v>
      </c>
      <c r="K143" s="38">
        <f>K124*$P105</f>
        <v>5.5212337601643575E-2</v>
      </c>
      <c r="L143" s="38">
        <f>L124*$P105</f>
        <v>7.3967189208230255E-2</v>
      </c>
      <c r="M143" s="38">
        <f>M124*$P105</f>
        <v>8.0500000000000002E-2</v>
      </c>
      <c r="N143" s="38">
        <f>N124*$P105</f>
        <v>8.0500000000000002E-2</v>
      </c>
      <c r="O143" s="38">
        <f>O124*$P105</f>
        <v>8.0500000000000002E-2</v>
      </c>
      <c r="P143" s="38">
        <f>P124*$P105</f>
        <v>8.0500000000000002E-2</v>
      </c>
      <c r="S143" s="28"/>
      <c r="T143" s="28"/>
      <c r="U143" s="28"/>
      <c r="V143" s="27"/>
      <c r="W143" s="27"/>
      <c r="X143" s="27"/>
      <c r="Y143" s="27"/>
      <c r="Z143" s="27"/>
    </row>
    <row r="144" spans="1:26" ht="15" customHeight="1" x14ac:dyDescent="0.2">
      <c r="A144" s="12" t="str">
        <f>$B$141&amp;B144</f>
        <v>Emerging Drug Uptake:USOfranergene obadenovec (VB-111)</v>
      </c>
      <c r="B144" s="40" t="s">
        <v>24</v>
      </c>
      <c r="C144" s="38">
        <f>C125*$P106</f>
        <v>0</v>
      </c>
      <c r="D144" s="38">
        <f>D125*$P106</f>
        <v>0</v>
      </c>
      <c r="E144" s="38">
        <f>E125*$P106</f>
        <v>0</v>
      </c>
      <c r="F144" s="38">
        <f>F125*$P106</f>
        <v>0</v>
      </c>
      <c r="G144" s="38">
        <f>G125*$P106</f>
        <v>0</v>
      </c>
      <c r="H144" s="38">
        <f>H125*$P106</f>
        <v>0</v>
      </c>
      <c r="I144" s="38">
        <f>I125*$P106</f>
        <v>6.0315601488089123E-3</v>
      </c>
      <c r="J144" s="38">
        <f>J125*$P106</f>
        <v>2.5072360366967323E-2</v>
      </c>
      <c r="K144" s="38">
        <f>K125*$P106</f>
        <v>6.0163980539408309E-2</v>
      </c>
      <c r="L144" s="38">
        <f>L125*$P106</f>
        <v>8.8113774654407423E-2</v>
      </c>
      <c r="M144" s="38">
        <f>M125*$P106</f>
        <v>9.8991656599982145E-2</v>
      </c>
      <c r="N144" s="38">
        <f>N125*$P106</f>
        <v>0.10199999999999999</v>
      </c>
      <c r="O144" s="38">
        <f>O125*$P106</f>
        <v>0.10199999999999999</v>
      </c>
      <c r="P144" s="38">
        <f>P125*$P106</f>
        <v>0.10199999999999999</v>
      </c>
      <c r="S144" s="28"/>
      <c r="T144" s="28"/>
      <c r="U144" s="28"/>
      <c r="V144" s="27"/>
      <c r="W144" s="27"/>
      <c r="X144" s="27"/>
      <c r="Y144" s="27"/>
      <c r="Z144" s="27"/>
    </row>
    <row r="145" spans="1:26" ht="15" customHeight="1" x14ac:dyDescent="0.2">
      <c r="A145" s="12" t="str">
        <f>$B$141&amp;B145</f>
        <v>Emerging Drug Uptake:USDurvalumab</v>
      </c>
      <c r="B145" s="17" t="s">
        <v>23</v>
      </c>
      <c r="C145" s="38">
        <f>C126*$P107</f>
        <v>0</v>
      </c>
      <c r="D145" s="38">
        <f>D126*$P107</f>
        <v>0</v>
      </c>
      <c r="E145" s="38">
        <f>E126*$P107</f>
        <v>0</v>
      </c>
      <c r="F145" s="38">
        <f>F126*$P107</f>
        <v>0</v>
      </c>
      <c r="G145" s="38">
        <f>G126*$P107</f>
        <v>0</v>
      </c>
      <c r="H145" s="38">
        <f>H126*$P107</f>
        <v>0</v>
      </c>
      <c r="I145" s="38">
        <f>I126*$P107</f>
        <v>2.8159908315608185E-3</v>
      </c>
      <c r="J145" s="38">
        <f>J126*$P107</f>
        <v>1.0877222059191612E-2</v>
      </c>
      <c r="K145" s="38">
        <f>K126*$P107</f>
        <v>2.7144098217611982E-2</v>
      </c>
      <c r="L145" s="38">
        <f>L126*$P107</f>
        <v>4.4937948297707475E-2</v>
      </c>
      <c r="M145" s="38">
        <f>M126*$P107</f>
        <v>5.5054222471621436E-2</v>
      </c>
      <c r="N145" s="38">
        <f>N126*$P107</f>
        <v>5.8824762380385136E-2</v>
      </c>
      <c r="O145" s="38">
        <f>O126*$P107</f>
        <v>0.06</v>
      </c>
      <c r="P145" s="38">
        <f>P126*$P107</f>
        <v>0.06</v>
      </c>
      <c r="S145" s="28"/>
      <c r="T145" s="28"/>
      <c r="U145" s="28"/>
      <c r="V145" s="27"/>
      <c r="W145" s="27"/>
      <c r="X145" s="27"/>
      <c r="Y145" s="27"/>
      <c r="Z145" s="27"/>
    </row>
    <row r="146" spans="1:26" ht="15" customHeight="1" x14ac:dyDescent="0.2">
      <c r="A146" s="12" t="str">
        <f>$B$141&amp;B146</f>
        <v>Emerging Drug Uptake:USTasadenoturev (DNX-2401) + Pembrolizumab</v>
      </c>
      <c r="B146" s="40" t="s">
        <v>22</v>
      </c>
      <c r="C146" s="38">
        <f>C127*$P108</f>
        <v>0</v>
      </c>
      <c r="D146" s="38">
        <f>D127*$P108</f>
        <v>0</v>
      </c>
      <c r="E146" s="38">
        <f>E127*$P108</f>
        <v>0</v>
      </c>
      <c r="F146" s="38">
        <f>F127*$P108</f>
        <v>0</v>
      </c>
      <c r="G146" s="38">
        <f>G127*$P108</f>
        <v>0</v>
      </c>
      <c r="H146" s="38">
        <f>H127*$P108</f>
        <v>0</v>
      </c>
      <c r="I146" s="38">
        <f>I127*$P108</f>
        <v>9.9678211620295339E-4</v>
      </c>
      <c r="J146" s="38">
        <f>J127*$P108</f>
        <v>4.236008585852857E-3</v>
      </c>
      <c r="K146" s="38">
        <f>K127*$P108</f>
        <v>1.3249897004048397E-2</v>
      </c>
      <c r="L146" s="38">
        <f>L127*$P108</f>
        <v>3.0348722665368907E-2</v>
      </c>
      <c r="M146" s="38">
        <f>M127*$P108</f>
        <v>4.7548700223021281E-2</v>
      </c>
      <c r="N146" s="38">
        <f>N127*$P108</f>
        <v>5.6698084274733135E-2</v>
      </c>
      <c r="O146" s="38">
        <f>O127*$P108</f>
        <v>0.06</v>
      </c>
      <c r="P146" s="38">
        <f>P127*$P108</f>
        <v>0.06</v>
      </c>
      <c r="S146" s="28"/>
      <c r="T146" s="28"/>
      <c r="U146" s="28"/>
      <c r="V146" s="27"/>
      <c r="W146" s="27"/>
      <c r="X146" s="27"/>
      <c r="Y146" s="27"/>
      <c r="Z146" s="27"/>
    </row>
    <row r="147" spans="1:26" ht="15" customHeight="1" x14ac:dyDescent="0.2">
      <c r="A147" s="12" t="str">
        <f>$B$141&amp;B147</f>
        <v>Emerging Drug Uptake:USVAL-083 (Dianhydrogalactitol)</v>
      </c>
      <c r="B147" s="17" t="s">
        <v>21</v>
      </c>
      <c r="C147" s="38">
        <f>C128*$P109</f>
        <v>0</v>
      </c>
      <c r="D147" s="38">
        <f>D128*$P109</f>
        <v>0</v>
      </c>
      <c r="E147" s="38">
        <f>E128*$P109</f>
        <v>0</v>
      </c>
      <c r="F147" s="38">
        <f>F128*$P109</f>
        <v>0</v>
      </c>
      <c r="G147" s="38">
        <f>G128*$P109</f>
        <v>0</v>
      </c>
      <c r="H147" s="38">
        <f>H128*$P109</f>
        <v>0</v>
      </c>
      <c r="I147" s="38">
        <f>I128*$P109</f>
        <v>8.9710390458265813E-4</v>
      </c>
      <c r="J147" s="38">
        <f>J128*$P109</f>
        <v>3.8124077272675711E-3</v>
      </c>
      <c r="K147" s="38">
        <f>K128*$P109</f>
        <v>1.1924907303643557E-2</v>
      </c>
      <c r="L147" s="38">
        <f>L128*$P109</f>
        <v>2.7313850398832017E-2</v>
      </c>
      <c r="M147" s="38">
        <f>M128*$P109</f>
        <v>4.2793830200719155E-2</v>
      </c>
      <c r="N147" s="38">
        <f>N128*$P109</f>
        <v>5.1028275847259823E-2</v>
      </c>
      <c r="O147" s="38">
        <f>O128*$P109</f>
        <v>5.3999999999999999E-2</v>
      </c>
      <c r="P147" s="38">
        <f>P128*$P109</f>
        <v>5.3999999999999999E-2</v>
      </c>
      <c r="S147" s="28"/>
      <c r="T147" s="28"/>
      <c r="U147" s="28"/>
      <c r="V147" s="27"/>
      <c r="W147" s="27"/>
      <c r="X147" s="27"/>
      <c r="Y147" s="27"/>
      <c r="Z147" s="27"/>
    </row>
    <row r="148" spans="1:26" ht="15" customHeight="1" x14ac:dyDescent="0.2">
      <c r="A148" s="12" t="str">
        <f>$B$141&amp;B148</f>
        <v>Emerging Drug Uptake:USONC201</v>
      </c>
      <c r="B148" s="17" t="s">
        <v>20</v>
      </c>
      <c r="C148" s="38">
        <f>C129*$P110</f>
        <v>0</v>
      </c>
      <c r="D148" s="38">
        <f>D129*$P110</f>
        <v>0</v>
      </c>
      <c r="E148" s="38">
        <f>E129*$P110</f>
        <v>0</v>
      </c>
      <c r="F148" s="38">
        <f>F129*$P110</f>
        <v>0</v>
      </c>
      <c r="G148" s="38">
        <f>G129*$P110</f>
        <v>0</v>
      </c>
      <c r="H148" s="38">
        <f>H129*$P110</f>
        <v>0</v>
      </c>
      <c r="I148" s="38">
        <f>I129*$P110</f>
        <v>0</v>
      </c>
      <c r="J148" s="38">
        <f>J129*$P110</f>
        <v>8.4726479877251051E-4</v>
      </c>
      <c r="K148" s="38">
        <f>K129*$P110</f>
        <v>3.6006072979749286E-3</v>
      </c>
      <c r="L148" s="38">
        <f>L129*$P110</f>
        <v>1.1262412453441138E-2</v>
      </c>
      <c r="M148" s="38">
        <f>M129*$P110</f>
        <v>2.5796414265563575E-2</v>
      </c>
      <c r="N148" s="38">
        <f>N129*$P110</f>
        <v>4.0416395189568098E-2</v>
      </c>
      <c r="O148" s="38">
        <f>O129*$P110</f>
        <v>4.819337163352317E-2</v>
      </c>
      <c r="P148" s="38">
        <f>P129*$P110</f>
        <v>5.1000000000000004E-2</v>
      </c>
      <c r="S148" s="28"/>
      <c r="T148" s="28"/>
      <c r="U148" s="28"/>
      <c r="V148" s="27"/>
      <c r="W148" s="27"/>
      <c r="X148" s="27"/>
      <c r="Y148" s="27"/>
      <c r="Z148" s="27"/>
    </row>
    <row r="149" spans="1:26" ht="15" customHeight="1" x14ac:dyDescent="0.2">
      <c r="A149" s="12" t="str">
        <f>$B$141&amp;B149</f>
        <v>Emerging Drug Uptake:USSelinexor (KPT-330)</v>
      </c>
      <c r="B149" s="40" t="s">
        <v>19</v>
      </c>
      <c r="C149" s="38">
        <f>C130*$P111</f>
        <v>0</v>
      </c>
      <c r="D149" s="38">
        <f>D130*$P111</f>
        <v>0</v>
      </c>
      <c r="E149" s="38">
        <f>E130*$P111</f>
        <v>0</v>
      </c>
      <c r="F149" s="38">
        <f>F130*$P111</f>
        <v>0</v>
      </c>
      <c r="G149" s="38">
        <f>G130*$P111</f>
        <v>0</v>
      </c>
      <c r="H149" s="38">
        <f>H130*$P111</f>
        <v>0</v>
      </c>
      <c r="I149" s="38">
        <f>I130*$P111</f>
        <v>0</v>
      </c>
      <c r="J149" s="38">
        <f>J130*$P111</f>
        <v>3.2383894562949414E-3</v>
      </c>
      <c r="K149" s="38">
        <f>K130*$P111</f>
        <v>1.2508805368070355E-2</v>
      </c>
      <c r="L149" s="38">
        <f>L130*$P111</f>
        <v>3.1215712950253785E-2</v>
      </c>
      <c r="M149" s="38">
        <f>M130*$P111</f>
        <v>5.1678640542363603E-2</v>
      </c>
      <c r="N149" s="38">
        <f>N130*$P111</f>
        <v>6.3312355842364651E-2</v>
      </c>
      <c r="O149" s="38">
        <f>O130*$P111</f>
        <v>6.7648476737442911E-2</v>
      </c>
      <c r="P149" s="38">
        <f>P130*$P111</f>
        <v>6.9000000000000006E-2</v>
      </c>
      <c r="S149" s="28"/>
      <c r="T149" s="28"/>
      <c r="U149" s="28"/>
      <c r="V149" s="27"/>
      <c r="W149" s="27"/>
      <c r="X149" s="27"/>
      <c r="Y149" s="27"/>
      <c r="Z149" s="27"/>
    </row>
    <row r="150" spans="1:26" ht="15" customHeight="1" x14ac:dyDescent="0.2">
      <c r="A150" s="12" t="str">
        <f>$B$141&amp;B150</f>
        <v>Emerging Drug Uptake:USVBI-1901</v>
      </c>
      <c r="B150" s="40" t="s">
        <v>18</v>
      </c>
      <c r="C150" s="38">
        <f>C131*$P112</f>
        <v>0</v>
      </c>
      <c r="D150" s="38">
        <f>D131*$P112</f>
        <v>0</v>
      </c>
      <c r="E150" s="38">
        <f>E131*$P112</f>
        <v>0</v>
      </c>
      <c r="F150" s="38">
        <f>F131*$P112</f>
        <v>0</v>
      </c>
      <c r="G150" s="38">
        <f>G131*$P112</f>
        <v>0</v>
      </c>
      <c r="H150" s="38">
        <f>H131*$P112</f>
        <v>0</v>
      </c>
      <c r="I150" s="38">
        <f>I131*$P112</f>
        <v>0</v>
      </c>
      <c r="J150" s="38">
        <f>J131*$P112</f>
        <v>0</v>
      </c>
      <c r="K150" s="38">
        <f>K131*$P112</f>
        <v>0</v>
      </c>
      <c r="L150" s="38">
        <f>L131*$P112</f>
        <v>1.0404381074881556E-4</v>
      </c>
      <c r="M150" s="38">
        <f>M131*$P112</f>
        <v>4.1374644779240596E-4</v>
      </c>
      <c r="N150" s="38">
        <f>N131*$P112</f>
        <v>1.2996045789147321E-3</v>
      </c>
      <c r="O150" s="38">
        <f>O131*$P112</f>
        <v>3.569471620604166E-3</v>
      </c>
      <c r="P150" s="38">
        <f>P131*$P112</f>
        <v>8.0502906291587215E-3</v>
      </c>
      <c r="S150" s="28"/>
      <c r="T150" s="28"/>
      <c r="U150" s="28"/>
      <c r="V150" s="27"/>
      <c r="W150" s="27"/>
      <c r="X150" s="27"/>
      <c r="Y150" s="27"/>
      <c r="Z150" s="27"/>
    </row>
    <row r="151" spans="1:26" x14ac:dyDescent="0.2">
      <c r="A151" s="12" t="str">
        <f>$B$141&amp;B151</f>
        <v>Emerging Drug Uptake:USPaxalisib (GDC-0084)</v>
      </c>
      <c r="B151" s="39" t="s">
        <v>17</v>
      </c>
      <c r="C151" s="38">
        <f>C132*$P113</f>
        <v>0</v>
      </c>
      <c r="D151" s="38">
        <f>D132*$P113</f>
        <v>0</v>
      </c>
      <c r="E151" s="38">
        <f>E132*$P113</f>
        <v>0</v>
      </c>
      <c r="F151" s="38">
        <f>F132*$P113</f>
        <v>0</v>
      </c>
      <c r="G151" s="38">
        <f>G132*$P113</f>
        <v>0</v>
      </c>
      <c r="H151" s="38">
        <f>H132*$P113</f>
        <v>0</v>
      </c>
      <c r="I151" s="38">
        <f>I132*$P113</f>
        <v>0</v>
      </c>
      <c r="J151" s="38">
        <f>J132*$P113</f>
        <v>7.4758658715221504E-4</v>
      </c>
      <c r="K151" s="38">
        <f>K132*$P113</f>
        <v>3.1770064393896423E-3</v>
      </c>
      <c r="L151" s="38">
        <f>L132*$P113</f>
        <v>9.9374227530362978E-3</v>
      </c>
      <c r="M151" s="38">
        <f>M132*$P113</f>
        <v>2.2761541999026681E-2</v>
      </c>
      <c r="N151" s="38">
        <f>N132*$P113</f>
        <v>3.5661525167265964E-2</v>
      </c>
      <c r="O151" s="38">
        <f>O132*$P113</f>
        <v>4.2523563206049851E-2</v>
      </c>
      <c r="P151" s="38">
        <f>P132*$P113</f>
        <v>4.4999999999999998E-2</v>
      </c>
      <c r="S151" s="28"/>
      <c r="T151" s="28"/>
      <c r="U151" s="28"/>
      <c r="V151" s="27"/>
      <c r="W151" s="27"/>
      <c r="X151" s="27"/>
      <c r="Y151" s="27"/>
      <c r="Z151" s="27"/>
    </row>
    <row r="152" spans="1:26" ht="15" customHeight="1" x14ac:dyDescent="0.2">
      <c r="A152" s="12" t="str">
        <f>$B$141&amp;B152</f>
        <v>Emerging Drug Uptake:USAV-GBM-1</v>
      </c>
      <c r="B152" s="39" t="s">
        <v>16</v>
      </c>
      <c r="C152" s="38">
        <f>C133*$P114</f>
        <v>0</v>
      </c>
      <c r="D152" s="38">
        <f>D133*$P114</f>
        <v>0</v>
      </c>
      <c r="E152" s="38">
        <f>E133*$P114</f>
        <v>0</v>
      </c>
      <c r="F152" s="38">
        <f>F133*$P114</f>
        <v>0</v>
      </c>
      <c r="G152" s="38">
        <f>G133*$P114</f>
        <v>0</v>
      </c>
      <c r="H152" s="38">
        <f>H133*$P114</f>
        <v>0</v>
      </c>
      <c r="I152" s="38">
        <f>I133*$P114</f>
        <v>0</v>
      </c>
      <c r="J152" s="38">
        <f>J133*$P114</f>
        <v>7.4758658715221504E-4</v>
      </c>
      <c r="K152" s="38">
        <f>K133*$P114</f>
        <v>3.1770064393896423E-3</v>
      </c>
      <c r="L152" s="38">
        <f>L133*$P114</f>
        <v>9.9374227530362978E-3</v>
      </c>
      <c r="M152" s="38">
        <f>M133*$P114</f>
        <v>2.2761541999026681E-2</v>
      </c>
      <c r="N152" s="38">
        <f>N133*$P114</f>
        <v>3.5661525167265964E-2</v>
      </c>
      <c r="O152" s="38">
        <f>O133*$P114</f>
        <v>4.2523563206049851E-2</v>
      </c>
      <c r="P152" s="38">
        <f>P133*$P114</f>
        <v>4.4999999999999998E-2</v>
      </c>
      <c r="S152" s="28"/>
      <c r="T152" s="28"/>
      <c r="U152" s="28"/>
      <c r="V152" s="27"/>
      <c r="W152" s="27"/>
      <c r="X152" s="27"/>
      <c r="Y152" s="27"/>
      <c r="Z152" s="27"/>
    </row>
    <row r="153" spans="1:26" ht="15" customHeight="1" x14ac:dyDescent="0.2">
      <c r="A153" s="12" t="str">
        <f>$B$141&amp;B153</f>
        <v xml:space="preserve">Emerging Drug Uptake:USMDNA55 </v>
      </c>
      <c r="B153" s="17" t="s">
        <v>15</v>
      </c>
      <c r="C153" s="38">
        <f>C134*$P115</f>
        <v>0</v>
      </c>
      <c r="D153" s="38">
        <f>D134*$P115</f>
        <v>0</v>
      </c>
      <c r="E153" s="38">
        <f>E134*$P115</f>
        <v>0</v>
      </c>
      <c r="F153" s="38">
        <f>F134*$P115</f>
        <v>0</v>
      </c>
      <c r="G153" s="38">
        <f>G134*$P115</f>
        <v>0</v>
      </c>
      <c r="H153" s="38">
        <f>H134*$P115</f>
        <v>0</v>
      </c>
      <c r="I153" s="38">
        <f>I134*$P115</f>
        <v>0</v>
      </c>
      <c r="J153" s="38">
        <f>J134*$P115</f>
        <v>9.4694301039280565E-4</v>
      </c>
      <c r="K153" s="38">
        <f>K134*$P115</f>
        <v>4.0242081565602132E-3</v>
      </c>
      <c r="L153" s="38">
        <f>L134*$P115</f>
        <v>1.2587402153845977E-2</v>
      </c>
      <c r="M153" s="38">
        <f>M134*$P115</f>
        <v>2.8831286532100459E-2</v>
      </c>
      <c r="N153" s="38">
        <f>N134*$P115</f>
        <v>4.5171265211870218E-2</v>
      </c>
      <c r="O153" s="38">
        <f>O134*$P115</f>
        <v>5.3863180060996475E-2</v>
      </c>
      <c r="P153" s="38">
        <f>P134*$P115</f>
        <v>5.6999999999999995E-2</v>
      </c>
      <c r="S153" s="28"/>
      <c r="T153" s="28"/>
      <c r="U153" s="28"/>
      <c r="V153" s="27"/>
      <c r="W153" s="27"/>
      <c r="X153" s="27"/>
      <c r="Y153" s="27"/>
      <c r="Z153" s="27"/>
    </row>
    <row r="154" spans="1:26" ht="15" customHeight="1" x14ac:dyDescent="0.2">
      <c r="A154" s="12" t="str">
        <f>$B$141&amp;B154</f>
        <v>Emerging Drug Uptake:USpp65-shLAMP DC with GM-CSF (ITI-1000)</v>
      </c>
      <c r="B154" s="39" t="s">
        <v>14</v>
      </c>
      <c r="C154" s="38">
        <f>C135*$P116</f>
        <v>0</v>
      </c>
      <c r="D154" s="38">
        <f>D135*$P116</f>
        <v>0</v>
      </c>
      <c r="E154" s="38">
        <f>E135*$P116</f>
        <v>0</v>
      </c>
      <c r="F154" s="38">
        <f>F135*$P116</f>
        <v>0</v>
      </c>
      <c r="G154" s="38">
        <f>G135*$P116</f>
        <v>0</v>
      </c>
      <c r="H154" s="38">
        <f>H135*$P116</f>
        <v>0</v>
      </c>
      <c r="I154" s="38">
        <f>I135*$P116</f>
        <v>0</v>
      </c>
      <c r="J154" s="38">
        <f>J135*$P116</f>
        <v>0</v>
      </c>
      <c r="K154" s="38">
        <f>K135*$P116</f>
        <v>0</v>
      </c>
      <c r="L154" s="38">
        <f>L135*$P116</f>
        <v>0</v>
      </c>
      <c r="M154" s="38">
        <f>M135*$P116</f>
        <v>6.4790837553191979E-4</v>
      </c>
      <c r="N154" s="38">
        <f>N135*$P116</f>
        <v>2.7534055808043569E-3</v>
      </c>
      <c r="O154" s="38">
        <f>O135*$P116</f>
        <v>8.6124330526314574E-3</v>
      </c>
      <c r="P154" s="38">
        <f>P135*$P116</f>
        <v>1.972666973248979E-2</v>
      </c>
      <c r="S154" s="28"/>
      <c r="T154" s="28"/>
      <c r="U154" s="28"/>
      <c r="V154" s="27"/>
      <c r="W154" s="27"/>
      <c r="X154" s="27"/>
      <c r="Y154" s="27"/>
      <c r="Z154" s="27"/>
    </row>
    <row r="155" spans="1:26" ht="15" customHeight="1" x14ac:dyDescent="0.2">
      <c r="A155" s="12" t="str">
        <f>$B$141&amp;B155</f>
        <v>Emerging Drug Uptake:USINO-5401+ INO-9012+Cemiplimab (REGN2810)</v>
      </c>
      <c r="B155" s="39" t="s">
        <v>13</v>
      </c>
      <c r="C155" s="38">
        <f>C136*$P117</f>
        <v>0</v>
      </c>
      <c r="D155" s="38">
        <f>D136*$P117</f>
        <v>0</v>
      </c>
      <c r="E155" s="38">
        <f>E136*$P117</f>
        <v>0</v>
      </c>
      <c r="F155" s="38">
        <f>F136*$P117</f>
        <v>0</v>
      </c>
      <c r="G155" s="38">
        <f>G136*$P117</f>
        <v>0</v>
      </c>
      <c r="H155" s="38">
        <f>H136*$P117</f>
        <v>0</v>
      </c>
      <c r="I155" s="38">
        <f>I136*$P117</f>
        <v>0</v>
      </c>
      <c r="J155" s="38">
        <f>J136*$P117</f>
        <v>4.6214670801401886E-4</v>
      </c>
      <c r="K155" s="38">
        <f>K136*$P117</f>
        <v>1.7934815613166294E-3</v>
      </c>
      <c r="L155" s="38">
        <f>L136*$P117</f>
        <v>5.269948395748846E-3</v>
      </c>
      <c r="M155" s="38">
        <f>M136*$P117</f>
        <v>1.2420783143405958E-2</v>
      </c>
      <c r="N155" s="38">
        <f>N136*$P117</f>
        <v>2.188380610644711E-2</v>
      </c>
      <c r="O155" s="38">
        <f>O136*$P117</f>
        <v>2.9107494134153665E-2</v>
      </c>
      <c r="P155" s="38">
        <f>P136*$P117</f>
        <v>3.2642315195902653E-2</v>
      </c>
      <c r="S155" s="28"/>
      <c r="T155" s="28"/>
      <c r="U155" s="28"/>
      <c r="V155" s="27"/>
      <c r="W155" s="27"/>
      <c r="X155" s="27"/>
      <c r="Y155" s="27"/>
      <c r="Z155" s="27"/>
    </row>
    <row r="156" spans="1:26" ht="15" customHeight="1" x14ac:dyDescent="0.2">
      <c r="A156" s="12" t="str">
        <f>$B$141&amp;B156</f>
        <v>Emerging Drug Uptake:USEflornithine + Lomustine</v>
      </c>
      <c r="B156" s="17" t="s">
        <v>12</v>
      </c>
      <c r="C156" s="38">
        <f>C137*$P118</f>
        <v>0</v>
      </c>
      <c r="D156" s="38">
        <f>D137*$P118</f>
        <v>0</v>
      </c>
      <c r="E156" s="38">
        <f>E137*$P118</f>
        <v>0</v>
      </c>
      <c r="F156" s="38">
        <f>F137*$P118</f>
        <v>0</v>
      </c>
      <c r="G156" s="38">
        <f>G137*$P118</f>
        <v>5.3219648371843351E-3</v>
      </c>
      <c r="H156" s="38">
        <f>H137*$P118</f>
        <v>2.2122670912029997E-2</v>
      </c>
      <c r="I156" s="38">
        <f>I137*$P118</f>
        <v>5.3085865181830873E-2</v>
      </c>
      <c r="J156" s="38">
        <f>J137*$P118</f>
        <v>7.7747448224477156E-2</v>
      </c>
      <c r="K156" s="38">
        <f>K137*$P118</f>
        <v>8.7345579352925432E-2</v>
      </c>
      <c r="L156" s="38">
        <f>L137*$P118</f>
        <v>9.0000000000000011E-2</v>
      </c>
      <c r="M156" s="38">
        <f>M137*$P118</f>
        <v>9.0000000000000011E-2</v>
      </c>
      <c r="N156" s="38">
        <f>N137*$P118</f>
        <v>9.0000000000000011E-2</v>
      </c>
      <c r="O156" s="38">
        <f>O137*$P118</f>
        <v>9.0000000000000011E-2</v>
      </c>
      <c r="P156" s="38">
        <f>P137*$P118</f>
        <v>9.0000000000000011E-2</v>
      </c>
      <c r="S156" s="28"/>
      <c r="T156" s="28"/>
      <c r="U156" s="28"/>
      <c r="V156" s="27"/>
      <c r="W156" s="27"/>
      <c r="X156" s="27"/>
      <c r="Y156" s="27"/>
      <c r="Z156" s="27"/>
    </row>
    <row r="157" spans="1:26" ht="15" customHeight="1" x14ac:dyDescent="0.2">
      <c r="A157" s="12" t="str">
        <f>$B$141&amp;B157</f>
        <v>Emerging Drug Uptake:USEverolimus (RAD001)</v>
      </c>
      <c r="B157" s="17" t="s">
        <v>11</v>
      </c>
      <c r="C157" s="38">
        <f>C138*$P119</f>
        <v>0</v>
      </c>
      <c r="D157" s="38">
        <f>D138*$P119</f>
        <v>0</v>
      </c>
      <c r="E157" s="38">
        <f>E138*$P119</f>
        <v>0</v>
      </c>
      <c r="F157" s="38">
        <f>F138*$P119</f>
        <v>0</v>
      </c>
      <c r="G157" s="38">
        <f>G138*$P119</f>
        <v>0</v>
      </c>
      <c r="H157" s="38">
        <f>H138*$P119</f>
        <v>0</v>
      </c>
      <c r="I157" s="38">
        <f>I138*$P119</f>
        <v>0</v>
      </c>
      <c r="J157" s="38">
        <f>J138*$P119</f>
        <v>0</v>
      </c>
      <c r="K157" s="38">
        <f>K138*$P119</f>
        <v>1.0833392201889305E-3</v>
      </c>
      <c r="L157" s="38">
        <f>L138*$P119</f>
        <v>3.9170685171553352E-3</v>
      </c>
      <c r="M157" s="38">
        <f>M138*$P119</f>
        <v>9.7679604498505362E-3</v>
      </c>
      <c r="N157" s="38">
        <f>N138*$P119</f>
        <v>1.7556803245516353E-2</v>
      </c>
      <c r="O157" s="38">
        <f>O138*$P119</f>
        <v>2.3538132425268921E-2</v>
      </c>
      <c r="P157" s="38">
        <f>P138*$P119</f>
        <v>2.6476347504578585E-2</v>
      </c>
      <c r="S157" s="28"/>
      <c r="T157" s="28"/>
      <c r="U157" s="28"/>
      <c r="V157" s="27"/>
      <c r="W157" s="27"/>
      <c r="X157" s="27"/>
      <c r="Y157" s="27"/>
      <c r="Z157" s="27"/>
    </row>
    <row r="158" spans="1:26" ht="15" customHeight="1" x14ac:dyDescent="0.2">
      <c r="A158" s="12" t="str">
        <f>$B$141&amp;B158</f>
        <v>Emerging Drug Uptake:USAd-RTS-hIL-12 + Veledimex ± Cemiplimab-Rwlc</v>
      </c>
      <c r="B158" s="17" t="s">
        <v>10</v>
      </c>
      <c r="C158" s="38">
        <f>C139*$P120</f>
        <v>0</v>
      </c>
      <c r="D158" s="38">
        <f>D139*$P120</f>
        <v>0</v>
      </c>
      <c r="E158" s="38">
        <f>E139*$P120</f>
        <v>0</v>
      </c>
      <c r="F158" s="38">
        <f>F139*$P120</f>
        <v>0</v>
      </c>
      <c r="G158" s="38">
        <f>G139*$P120</f>
        <v>0</v>
      </c>
      <c r="H158" s="38">
        <f>H139*$P120</f>
        <v>0</v>
      </c>
      <c r="I158" s="38">
        <f>I139*$P120</f>
        <v>0</v>
      </c>
      <c r="J158" s="38">
        <f>J139*$P120</f>
        <v>0</v>
      </c>
      <c r="K158" s="38">
        <f>K139*$P120</f>
        <v>0</v>
      </c>
      <c r="L158" s="38">
        <f>L139*$P120</f>
        <v>1.9692752931401491E-4</v>
      </c>
      <c r="M158" s="38">
        <f>M139*$P120</f>
        <v>8.6562451349491462E-4</v>
      </c>
      <c r="N158" s="38">
        <f>N139*$P120</f>
        <v>2.9937471251446383E-3</v>
      </c>
      <c r="O158" s="38">
        <f>O139*$P120</f>
        <v>8.5764745512351814E-3</v>
      </c>
      <c r="P158" s="38">
        <f>P139*$P120</f>
        <v>1.796937552608115E-2</v>
      </c>
      <c r="S158" s="28"/>
      <c r="T158" s="28"/>
      <c r="U158" s="28"/>
      <c r="V158" s="27"/>
      <c r="W158" s="27"/>
      <c r="X158" s="27"/>
      <c r="Y158" s="27"/>
      <c r="Z158" s="27"/>
    </row>
    <row r="159" spans="1:26" ht="15" customHeight="1" x14ac:dyDescent="0.2">
      <c r="A159" s="12"/>
      <c r="C159" s="30"/>
      <c r="D159" s="29"/>
      <c r="E159" s="29"/>
      <c r="F159" s="28"/>
      <c r="G159" s="28"/>
      <c r="H159" s="28"/>
      <c r="I159" s="28"/>
      <c r="J159" s="28"/>
      <c r="K159" s="28"/>
      <c r="L159" s="28"/>
      <c r="M159" s="28"/>
      <c r="N159" s="28"/>
      <c r="O159" s="28"/>
      <c r="P159" s="28"/>
      <c r="S159" s="28"/>
      <c r="T159" s="28"/>
      <c r="U159" s="28"/>
      <c r="V159" s="27"/>
      <c r="W159" s="27"/>
      <c r="X159" s="27"/>
      <c r="Y159" s="27"/>
      <c r="Z159" s="27"/>
    </row>
    <row r="160" spans="1:26" ht="15" customHeight="1" x14ac:dyDescent="0.2">
      <c r="A160" s="12"/>
      <c r="B160" s="41" t="s">
        <v>44</v>
      </c>
      <c r="C160" s="41">
        <v>2017</v>
      </c>
      <c r="D160" s="41">
        <f>C160+1</f>
        <v>2018</v>
      </c>
      <c r="E160" s="41">
        <f>D160+1</f>
        <v>2019</v>
      </c>
      <c r="F160" s="41">
        <f>E160+1</f>
        <v>2020</v>
      </c>
      <c r="G160" s="41">
        <f>F160+1</f>
        <v>2021</v>
      </c>
      <c r="H160" s="41">
        <f>G160+1</f>
        <v>2022</v>
      </c>
      <c r="I160" s="41">
        <f>H160+1</f>
        <v>2023</v>
      </c>
      <c r="J160" s="41">
        <f>I160+1</f>
        <v>2024</v>
      </c>
      <c r="K160" s="41">
        <f>J160+1</f>
        <v>2025</v>
      </c>
      <c r="L160" s="41">
        <f>K160+1</f>
        <v>2026</v>
      </c>
      <c r="M160" s="41">
        <f>L160+1</f>
        <v>2027</v>
      </c>
      <c r="N160" s="41">
        <f>M160+1</f>
        <v>2028</v>
      </c>
      <c r="O160" s="41">
        <f>N160+1</f>
        <v>2029</v>
      </c>
      <c r="P160" s="41">
        <f>O160+1</f>
        <v>2030</v>
      </c>
      <c r="S160" s="28"/>
      <c r="T160" s="28"/>
      <c r="U160" s="28"/>
      <c r="V160" s="27"/>
      <c r="W160" s="27"/>
      <c r="X160" s="27"/>
      <c r="Y160" s="27"/>
      <c r="Z160" s="27"/>
    </row>
    <row r="161" spans="1:26" ht="15" customHeight="1" x14ac:dyDescent="0.2">
      <c r="A161" s="12" t="str">
        <f>$N104&amp;$Q104</f>
        <v>6Medium</v>
      </c>
      <c r="B161" s="17" t="s">
        <v>27</v>
      </c>
      <c r="C161" s="38">
        <v>0</v>
      </c>
      <c r="D161" s="38">
        <v>0</v>
      </c>
      <c r="E161" s="38">
        <v>0</v>
      </c>
      <c r="F161" s="38">
        <v>0</v>
      </c>
      <c r="G161" s="38">
        <v>0</v>
      </c>
      <c r="H161" s="38">
        <v>0</v>
      </c>
      <c r="I161" s="38">
        <v>0</v>
      </c>
      <c r="J161" s="38">
        <v>0</v>
      </c>
      <c r="K161" s="38">
        <v>2.116787658395676E-2</v>
      </c>
      <c r="L161" s="38">
        <v>0.10083682835568897</v>
      </c>
      <c r="M161" s="38">
        <v>0.33102660738999551</v>
      </c>
      <c r="N161" s="38">
        <v>0.68586754784650406</v>
      </c>
      <c r="O161" s="38">
        <v>0.91884707090969253</v>
      </c>
      <c r="P161" s="38">
        <v>1</v>
      </c>
      <c r="S161" s="28"/>
      <c r="T161" s="28"/>
      <c r="U161" s="28"/>
      <c r="V161" s="27"/>
      <c r="W161" s="27"/>
      <c r="X161" s="27"/>
      <c r="Y161" s="27"/>
      <c r="Z161" s="27"/>
    </row>
    <row r="162" spans="1:26" ht="15" customHeight="1" x14ac:dyDescent="0.2">
      <c r="A162" s="12" t="str">
        <f>$N105&amp;$Q105</f>
        <v>6Medium</v>
      </c>
      <c r="B162" s="39" t="s">
        <v>25</v>
      </c>
      <c r="C162" s="38">
        <v>0</v>
      </c>
      <c r="D162" s="38">
        <v>0</v>
      </c>
      <c r="E162" s="38">
        <v>0</v>
      </c>
      <c r="F162" s="38">
        <v>0</v>
      </c>
      <c r="G162" s="38">
        <v>0</v>
      </c>
      <c r="H162" s="38">
        <v>0</v>
      </c>
      <c r="I162" s="38">
        <v>2.116787658395676E-2</v>
      </c>
      <c r="J162" s="38">
        <v>0.10083682835568897</v>
      </c>
      <c r="K162" s="38">
        <v>0.33102660738999551</v>
      </c>
      <c r="L162" s="38">
        <v>0.68586754784650406</v>
      </c>
      <c r="M162" s="38">
        <v>0.91884707090969253</v>
      </c>
      <c r="N162" s="38">
        <v>1</v>
      </c>
      <c r="O162" s="38">
        <v>1</v>
      </c>
      <c r="P162" s="38">
        <v>1</v>
      </c>
      <c r="S162" s="28"/>
      <c r="T162" s="28"/>
      <c r="U162" s="28"/>
      <c r="V162" s="27"/>
      <c r="W162" s="27"/>
      <c r="X162" s="27"/>
      <c r="Y162" s="27"/>
      <c r="Z162" s="27"/>
    </row>
    <row r="163" spans="1:26" ht="15" customHeight="1" x14ac:dyDescent="0.2">
      <c r="A163" s="12" t="str">
        <f>$N106&amp;$Q106</f>
        <v>6Medium-fast</v>
      </c>
      <c r="B163" s="40" t="s">
        <v>24</v>
      </c>
      <c r="C163" s="38">
        <v>0</v>
      </c>
      <c r="D163" s="38">
        <v>0</v>
      </c>
      <c r="E163" s="38">
        <v>0</v>
      </c>
      <c r="F163" s="38">
        <v>0</v>
      </c>
      <c r="G163" s="38">
        <v>0</v>
      </c>
      <c r="H163" s="38">
        <v>0</v>
      </c>
      <c r="I163" s="38">
        <v>0</v>
      </c>
      <c r="J163" s="38">
        <v>5.9132942635381498E-2</v>
      </c>
      <c r="K163" s="38">
        <v>0.24580745457811104</v>
      </c>
      <c r="L163" s="38">
        <v>0.58984294646478741</v>
      </c>
      <c r="M163" s="38">
        <v>0.86386053582752387</v>
      </c>
      <c r="N163" s="38">
        <v>0.97050643725472696</v>
      </c>
      <c r="O163" s="38">
        <v>1</v>
      </c>
      <c r="P163" s="38">
        <v>1</v>
      </c>
      <c r="S163" s="28"/>
      <c r="T163" s="28"/>
      <c r="U163" s="28"/>
      <c r="V163" s="27"/>
      <c r="W163" s="27"/>
      <c r="X163" s="27"/>
      <c r="Y163" s="27"/>
      <c r="Z163" s="27"/>
    </row>
    <row r="164" spans="1:26" ht="15" customHeight="1" x14ac:dyDescent="0.2">
      <c r="A164" s="12" t="str">
        <f>$N107&amp;$Q107</f>
        <v>7Medium-fast</v>
      </c>
      <c r="B164" s="17" t="s">
        <v>23</v>
      </c>
      <c r="C164" s="38">
        <v>0</v>
      </c>
      <c r="D164" s="38">
        <v>0</v>
      </c>
      <c r="E164" s="38">
        <v>0</v>
      </c>
      <c r="F164" s="38">
        <v>0</v>
      </c>
      <c r="G164" s="38">
        <v>0</v>
      </c>
      <c r="H164" s="38">
        <v>0</v>
      </c>
      <c r="I164" s="38">
        <v>0</v>
      </c>
      <c r="J164" s="38">
        <v>4.693318052601364E-2</v>
      </c>
      <c r="K164" s="38">
        <v>0.18128703431986021</v>
      </c>
      <c r="L164" s="38">
        <v>0.45240163696019975</v>
      </c>
      <c r="M164" s="38">
        <v>0.74896580496179133</v>
      </c>
      <c r="N164" s="38">
        <v>0.91757037452702395</v>
      </c>
      <c r="O164" s="38">
        <v>0.9804127063397523</v>
      </c>
      <c r="P164" s="38">
        <v>1</v>
      </c>
      <c r="S164" s="28"/>
      <c r="T164" s="28"/>
      <c r="U164" s="28"/>
      <c r="V164" s="27"/>
      <c r="W164" s="27"/>
      <c r="X164" s="27"/>
      <c r="Y164" s="27"/>
      <c r="Z164" s="27"/>
    </row>
    <row r="165" spans="1:26" ht="15" customHeight="1" x14ac:dyDescent="0.2">
      <c r="A165" s="12" t="str">
        <f>$N108&amp;$Q108</f>
        <v>7Medium</v>
      </c>
      <c r="B165" s="40" t="s">
        <v>22</v>
      </c>
      <c r="C165" s="38">
        <v>0</v>
      </c>
      <c r="D165" s="38">
        <v>0</v>
      </c>
      <c r="E165" s="38">
        <v>0</v>
      </c>
      <c r="F165" s="38">
        <v>0</v>
      </c>
      <c r="G165" s="38">
        <v>0</v>
      </c>
      <c r="H165" s="38">
        <v>0</v>
      </c>
      <c r="I165" s="38">
        <v>0</v>
      </c>
      <c r="J165" s="38">
        <v>1.6613035270049224E-2</v>
      </c>
      <c r="K165" s="38">
        <v>7.0600143097547613E-2</v>
      </c>
      <c r="L165" s="38">
        <v>0.22083161673413995</v>
      </c>
      <c r="M165" s="38">
        <v>0.50581204442281513</v>
      </c>
      <c r="N165" s="38">
        <v>0.79247833705035475</v>
      </c>
      <c r="O165" s="38">
        <v>0.94496807124555227</v>
      </c>
      <c r="P165" s="38">
        <v>1</v>
      </c>
      <c r="S165" s="28"/>
      <c r="T165" s="28"/>
      <c r="U165" s="28"/>
      <c r="V165" s="27"/>
      <c r="W165" s="27"/>
      <c r="X165" s="27"/>
      <c r="Y165" s="27"/>
      <c r="Z165" s="27"/>
    </row>
    <row r="166" spans="1:26" ht="15" customHeight="1" x14ac:dyDescent="0.2">
      <c r="A166" s="12" t="str">
        <f>$N109&amp;$Q109</f>
        <v>7Medium</v>
      </c>
      <c r="B166" s="17" t="s">
        <v>21</v>
      </c>
      <c r="C166" s="38">
        <v>0</v>
      </c>
      <c r="D166" s="38">
        <v>0</v>
      </c>
      <c r="E166" s="38">
        <v>0</v>
      </c>
      <c r="F166" s="38">
        <v>0</v>
      </c>
      <c r="G166" s="38">
        <v>0</v>
      </c>
      <c r="H166" s="38">
        <v>0</v>
      </c>
      <c r="I166" s="38">
        <v>0</v>
      </c>
      <c r="J166" s="38">
        <v>1.6613035270049224E-2</v>
      </c>
      <c r="K166" s="38">
        <v>7.0600143097547613E-2</v>
      </c>
      <c r="L166" s="38">
        <v>0.22083161673413995</v>
      </c>
      <c r="M166" s="38">
        <v>0.50581204442281513</v>
      </c>
      <c r="N166" s="38">
        <v>0.79247833705035475</v>
      </c>
      <c r="O166" s="38">
        <v>0.94496807124555227</v>
      </c>
      <c r="P166" s="38">
        <v>1</v>
      </c>
      <c r="S166" s="28"/>
      <c r="T166" s="28"/>
      <c r="U166" s="28"/>
      <c r="V166" s="27"/>
      <c r="W166" s="27"/>
      <c r="X166" s="27"/>
      <c r="Y166" s="27"/>
      <c r="Z166" s="27"/>
    </row>
    <row r="167" spans="1:26" ht="15" customHeight="1" x14ac:dyDescent="0.2">
      <c r="A167" s="12" t="str">
        <f>$N110&amp;$Q110</f>
        <v>7Medium</v>
      </c>
      <c r="B167" s="17" t="s">
        <v>20</v>
      </c>
      <c r="C167" s="38">
        <v>0</v>
      </c>
      <c r="D167" s="38">
        <v>0</v>
      </c>
      <c r="E167" s="38">
        <v>0</v>
      </c>
      <c r="F167" s="38">
        <v>0</v>
      </c>
      <c r="G167" s="38">
        <v>0</v>
      </c>
      <c r="H167" s="38">
        <v>0</v>
      </c>
      <c r="I167" s="38">
        <v>0</v>
      </c>
      <c r="J167" s="38">
        <v>0</v>
      </c>
      <c r="K167" s="38">
        <v>1.6613035270049224E-2</v>
      </c>
      <c r="L167" s="38">
        <v>7.0600143097547613E-2</v>
      </c>
      <c r="M167" s="38">
        <v>0.22083161673413995</v>
      </c>
      <c r="N167" s="38">
        <v>0.50581204442281513</v>
      </c>
      <c r="O167" s="38">
        <v>0.79247833705035475</v>
      </c>
      <c r="P167" s="38">
        <v>0.94496807124555227</v>
      </c>
      <c r="S167" s="28"/>
      <c r="T167" s="28"/>
      <c r="U167" s="28"/>
      <c r="V167" s="27"/>
      <c r="W167" s="27"/>
      <c r="X167" s="27"/>
      <c r="Y167" s="27"/>
      <c r="Z167" s="27"/>
    </row>
    <row r="168" spans="1:26" ht="15" customHeight="1" x14ac:dyDescent="0.2">
      <c r="A168" s="12" t="str">
        <f>$N111&amp;$Q111</f>
        <v>7Medium-fast</v>
      </c>
      <c r="B168" s="40" t="s">
        <v>19</v>
      </c>
      <c r="C168" s="38">
        <v>0</v>
      </c>
      <c r="D168" s="38">
        <v>0</v>
      </c>
      <c r="E168" s="38">
        <v>0</v>
      </c>
      <c r="F168" s="38">
        <v>0</v>
      </c>
      <c r="G168" s="38">
        <v>0</v>
      </c>
      <c r="H168" s="38">
        <v>0</v>
      </c>
      <c r="I168" s="38">
        <v>0</v>
      </c>
      <c r="J168" s="38">
        <v>0</v>
      </c>
      <c r="K168" s="38">
        <v>4.693318052601364E-2</v>
      </c>
      <c r="L168" s="38">
        <v>0.18128703431986021</v>
      </c>
      <c r="M168" s="38">
        <v>0.45240163696019975</v>
      </c>
      <c r="N168" s="38">
        <v>0.74896580496179133</v>
      </c>
      <c r="O168" s="38">
        <v>0.91757037452702395</v>
      </c>
      <c r="P168" s="38">
        <v>0.9804127063397523</v>
      </c>
      <c r="S168" s="28"/>
      <c r="T168" s="28"/>
      <c r="U168" s="28"/>
      <c r="V168" s="27"/>
      <c r="W168" s="27"/>
      <c r="X168" s="27"/>
      <c r="Y168" s="27"/>
      <c r="Z168" s="27"/>
    </row>
    <row r="169" spans="1:26" ht="15" customHeight="1" x14ac:dyDescent="0.2">
      <c r="A169" s="12" t="str">
        <f>$N112&amp;$Q112</f>
        <v>8Slow-medium</v>
      </c>
      <c r="B169" s="40" t="s">
        <v>18</v>
      </c>
      <c r="C169" s="38">
        <v>0</v>
      </c>
      <c r="D169" s="38">
        <v>0</v>
      </c>
      <c r="E169" s="38">
        <v>0</v>
      </c>
      <c r="F169" s="38">
        <v>0</v>
      </c>
      <c r="G169" s="38">
        <v>0</v>
      </c>
      <c r="H169" s="38">
        <v>0</v>
      </c>
      <c r="I169" s="38">
        <v>0</v>
      </c>
      <c r="J169" s="38">
        <v>0</v>
      </c>
      <c r="K169" s="38">
        <v>0</v>
      </c>
      <c r="L169" s="38">
        <v>0</v>
      </c>
      <c r="M169" s="38">
        <v>5.3355800384007977E-3</v>
      </c>
      <c r="N169" s="38">
        <v>2.1217766553456717E-2</v>
      </c>
      <c r="O169" s="38">
        <v>6.6646388662293957E-2</v>
      </c>
      <c r="P169" s="38">
        <v>0.18304982669764955</v>
      </c>
      <c r="S169" s="28"/>
      <c r="T169" s="28"/>
      <c r="U169" s="28"/>
      <c r="V169" s="27"/>
      <c r="W169" s="27"/>
      <c r="X169" s="27"/>
      <c r="Y169" s="27"/>
      <c r="Z169" s="27"/>
    </row>
    <row r="170" spans="1:26" x14ac:dyDescent="0.2">
      <c r="A170" s="12" t="str">
        <f>$N113&amp;$Q113</f>
        <v>7Medium</v>
      </c>
      <c r="B170" s="39" t="s">
        <v>17</v>
      </c>
      <c r="C170" s="38">
        <v>0</v>
      </c>
      <c r="D170" s="38">
        <v>0</v>
      </c>
      <c r="E170" s="38">
        <v>0</v>
      </c>
      <c r="F170" s="38">
        <v>0</v>
      </c>
      <c r="G170" s="38">
        <v>0</v>
      </c>
      <c r="H170" s="38">
        <v>0</v>
      </c>
      <c r="I170" s="38">
        <v>0</v>
      </c>
      <c r="J170" s="38">
        <v>0</v>
      </c>
      <c r="K170" s="38">
        <v>1.6613035270049224E-2</v>
      </c>
      <c r="L170" s="38">
        <v>7.0600143097547613E-2</v>
      </c>
      <c r="M170" s="38">
        <v>0.22083161673413995</v>
      </c>
      <c r="N170" s="38">
        <v>0.50581204442281513</v>
      </c>
      <c r="O170" s="38">
        <v>0.79247833705035475</v>
      </c>
      <c r="P170" s="38">
        <v>0.94496807124555227</v>
      </c>
      <c r="S170" s="28"/>
      <c r="T170" s="28"/>
      <c r="U170" s="28"/>
      <c r="V170" s="27"/>
      <c r="W170" s="27"/>
      <c r="X170" s="27"/>
      <c r="Y170" s="27"/>
      <c r="Z170" s="27"/>
    </row>
    <row r="171" spans="1:26" ht="15" customHeight="1" x14ac:dyDescent="0.2">
      <c r="A171" s="12" t="str">
        <f>$N114&amp;$Q114</f>
        <v>7Medium</v>
      </c>
      <c r="B171" s="39" t="s">
        <v>16</v>
      </c>
      <c r="C171" s="38">
        <v>0</v>
      </c>
      <c r="D171" s="38">
        <v>0</v>
      </c>
      <c r="E171" s="38">
        <v>0</v>
      </c>
      <c r="F171" s="38">
        <v>0</v>
      </c>
      <c r="G171" s="38">
        <v>0</v>
      </c>
      <c r="H171" s="38">
        <v>0</v>
      </c>
      <c r="I171" s="38">
        <v>0</v>
      </c>
      <c r="J171" s="38">
        <v>0</v>
      </c>
      <c r="K171" s="38">
        <v>1.6613035270049224E-2</v>
      </c>
      <c r="L171" s="38">
        <v>7.0600143097547613E-2</v>
      </c>
      <c r="M171" s="38">
        <v>0.22083161673413995</v>
      </c>
      <c r="N171" s="38">
        <v>0.50581204442281513</v>
      </c>
      <c r="O171" s="38">
        <v>0.79247833705035475</v>
      </c>
      <c r="P171" s="38">
        <v>0.94496807124555227</v>
      </c>
      <c r="S171" s="28"/>
      <c r="T171" s="28"/>
      <c r="U171" s="28"/>
      <c r="V171" s="27"/>
      <c r="W171" s="27"/>
      <c r="X171" s="27"/>
      <c r="Y171" s="27"/>
      <c r="Z171" s="27"/>
    </row>
    <row r="172" spans="1:26" ht="15" customHeight="1" x14ac:dyDescent="0.2">
      <c r="A172" s="12" t="str">
        <f>$N115&amp;$Q115</f>
        <v>7Medium</v>
      </c>
      <c r="B172" s="17" t="s">
        <v>15</v>
      </c>
      <c r="C172" s="38">
        <v>0</v>
      </c>
      <c r="D172" s="38">
        <v>0</v>
      </c>
      <c r="E172" s="38">
        <v>0</v>
      </c>
      <c r="F172" s="38">
        <v>0</v>
      </c>
      <c r="G172" s="38">
        <v>0</v>
      </c>
      <c r="H172" s="38">
        <v>0</v>
      </c>
      <c r="I172" s="38">
        <v>0</v>
      </c>
      <c r="J172" s="38">
        <v>0</v>
      </c>
      <c r="K172" s="38">
        <v>1.6613035270049224E-2</v>
      </c>
      <c r="L172" s="38">
        <v>7.0600143097547613E-2</v>
      </c>
      <c r="M172" s="38">
        <v>0.22083161673413995</v>
      </c>
      <c r="N172" s="38">
        <v>0.50581204442281513</v>
      </c>
      <c r="O172" s="38">
        <v>0.79247833705035475</v>
      </c>
      <c r="P172" s="38">
        <v>0.94496807124555227</v>
      </c>
      <c r="S172" s="28"/>
      <c r="T172" s="28"/>
      <c r="U172" s="28"/>
      <c r="V172" s="27"/>
      <c r="W172" s="27"/>
      <c r="X172" s="27"/>
      <c r="Y172" s="27"/>
      <c r="Z172" s="27"/>
    </row>
    <row r="173" spans="1:26" ht="15" customHeight="1" x14ac:dyDescent="0.2">
      <c r="A173" s="12" t="str">
        <f>$N116&amp;$Q116</f>
        <v>7Medium</v>
      </c>
      <c r="B173" s="39" t="s">
        <v>14</v>
      </c>
      <c r="C173" s="38">
        <v>0</v>
      </c>
      <c r="D173" s="38">
        <v>0</v>
      </c>
      <c r="E173" s="38">
        <v>0</v>
      </c>
      <c r="F173" s="38">
        <v>0</v>
      </c>
      <c r="G173" s="38">
        <v>0</v>
      </c>
      <c r="H173" s="38">
        <v>0</v>
      </c>
      <c r="I173" s="38">
        <v>0</v>
      </c>
      <c r="J173" s="38">
        <v>0</v>
      </c>
      <c r="K173" s="38">
        <v>0</v>
      </c>
      <c r="L173" s="38">
        <v>0</v>
      </c>
      <c r="M173" s="38">
        <v>0</v>
      </c>
      <c r="N173" s="38">
        <v>1.6613035270049224E-2</v>
      </c>
      <c r="O173" s="38">
        <v>7.0600143097547613E-2</v>
      </c>
      <c r="P173" s="38">
        <v>0.22083161673413995</v>
      </c>
      <c r="S173" s="28"/>
      <c r="T173" s="28"/>
      <c r="U173" s="28"/>
      <c r="V173" s="27"/>
      <c r="W173" s="27"/>
      <c r="X173" s="27"/>
      <c r="Y173" s="27"/>
      <c r="Z173" s="27"/>
    </row>
    <row r="174" spans="1:26" ht="15" customHeight="1" x14ac:dyDescent="0.2">
      <c r="A174" s="12" t="str">
        <f>$N117&amp;$Q117</f>
        <v>8Medium</v>
      </c>
      <c r="B174" s="39" t="s">
        <v>13</v>
      </c>
      <c r="C174" s="38">
        <v>0</v>
      </c>
      <c r="D174" s="38">
        <v>0</v>
      </c>
      <c r="E174" s="38">
        <v>0</v>
      </c>
      <c r="F174" s="38">
        <v>0</v>
      </c>
      <c r="G174" s="38">
        <v>0</v>
      </c>
      <c r="H174" s="38">
        <v>0</v>
      </c>
      <c r="I174" s="38">
        <v>0</v>
      </c>
      <c r="J174" s="38">
        <v>0</v>
      </c>
      <c r="K174" s="38">
        <v>1.3592550235706435E-2</v>
      </c>
      <c r="L174" s="38">
        <v>5.2749457685783215E-2</v>
      </c>
      <c r="M174" s="38">
        <v>0.15499848222790721</v>
      </c>
      <c r="N174" s="38">
        <v>0.36531715127664582</v>
      </c>
      <c r="O174" s="38">
        <v>0.64364135607197381</v>
      </c>
      <c r="P174" s="38">
        <v>0.85610276865157831</v>
      </c>
      <c r="S174" s="28"/>
      <c r="T174" s="28"/>
      <c r="U174" s="28"/>
      <c r="V174" s="27"/>
      <c r="W174" s="27"/>
      <c r="X174" s="27"/>
      <c r="Y174" s="27"/>
      <c r="Z174" s="27"/>
    </row>
    <row r="175" spans="1:26" ht="15" customHeight="1" x14ac:dyDescent="0.2">
      <c r="A175" s="12" t="str">
        <f>$N118&amp;$Q118</f>
        <v>6Medium-fast</v>
      </c>
      <c r="B175" s="17" t="s">
        <v>12</v>
      </c>
      <c r="C175" s="38">
        <v>0</v>
      </c>
      <c r="D175" s="38">
        <v>0</v>
      </c>
      <c r="E175" s="38">
        <v>0</v>
      </c>
      <c r="F175" s="38">
        <v>0</v>
      </c>
      <c r="G175" s="38">
        <v>0</v>
      </c>
      <c r="H175" s="38">
        <v>5.9132942635381498E-2</v>
      </c>
      <c r="I175" s="38">
        <v>0.24580745457811104</v>
      </c>
      <c r="J175" s="38">
        <v>0.58984294646478741</v>
      </c>
      <c r="K175" s="38">
        <v>0.86386053582752387</v>
      </c>
      <c r="L175" s="38">
        <v>0.97050643725472696</v>
      </c>
      <c r="M175" s="38">
        <v>1</v>
      </c>
      <c r="N175" s="38">
        <v>1</v>
      </c>
      <c r="O175" s="38">
        <v>1</v>
      </c>
      <c r="P175" s="38">
        <v>1</v>
      </c>
      <c r="S175" s="28"/>
      <c r="T175" s="28"/>
      <c r="U175" s="28"/>
      <c r="V175" s="27"/>
      <c r="W175" s="27"/>
      <c r="X175" s="27"/>
      <c r="Y175" s="27"/>
      <c r="Z175" s="27"/>
    </row>
    <row r="176" spans="1:26" ht="15" customHeight="1" x14ac:dyDescent="0.2">
      <c r="A176" s="12" t="str">
        <f>$N119&amp;$Q119</f>
        <v>8Medium-fast</v>
      </c>
      <c r="B176" s="17" t="s">
        <v>11</v>
      </c>
      <c r="C176" s="38">
        <v>0</v>
      </c>
      <c r="D176" s="38">
        <v>0</v>
      </c>
      <c r="E176" s="38">
        <v>0</v>
      </c>
      <c r="F176" s="38">
        <v>0</v>
      </c>
      <c r="G176" s="38">
        <v>0</v>
      </c>
      <c r="H176" s="38">
        <v>0</v>
      </c>
      <c r="I176" s="38">
        <v>0</v>
      </c>
      <c r="J176" s="38">
        <v>0</v>
      </c>
      <c r="K176" s="38">
        <v>0</v>
      </c>
      <c r="L176" s="38">
        <v>3.8690686435318943E-2</v>
      </c>
      <c r="M176" s="38">
        <v>0.13989530418411908</v>
      </c>
      <c r="N176" s="38">
        <v>0.34885573035180484</v>
      </c>
      <c r="O176" s="38">
        <v>0.62702868733986972</v>
      </c>
      <c r="P176" s="38">
        <v>0.84064758661674699</v>
      </c>
      <c r="S176" s="28"/>
      <c r="T176" s="28"/>
      <c r="U176" s="28"/>
      <c r="V176" s="27"/>
      <c r="W176" s="27"/>
      <c r="X176" s="27"/>
      <c r="Y176" s="27"/>
      <c r="Z176" s="27"/>
    </row>
    <row r="177" spans="1:26" ht="15" customHeight="1" x14ac:dyDescent="0.2">
      <c r="A177" s="12" t="str">
        <f>$N120&amp;$Q120</f>
        <v>7Slow-medium</v>
      </c>
      <c r="B177" s="17" t="s">
        <v>10</v>
      </c>
      <c r="C177" s="38">
        <v>0</v>
      </c>
      <c r="D177" s="38">
        <v>0</v>
      </c>
      <c r="E177" s="38">
        <v>0</v>
      </c>
      <c r="F177" s="38">
        <v>0</v>
      </c>
      <c r="G177" s="38">
        <v>0</v>
      </c>
      <c r="H177" s="38">
        <v>0</v>
      </c>
      <c r="I177" s="38">
        <v>0</v>
      </c>
      <c r="J177" s="38">
        <v>0</v>
      </c>
      <c r="K177" s="38">
        <v>0</v>
      </c>
      <c r="L177" s="38">
        <v>0</v>
      </c>
      <c r="M177" s="38">
        <v>6.5642509771338302E-3</v>
      </c>
      <c r="N177" s="38">
        <v>2.8854150449830487E-2</v>
      </c>
      <c r="O177" s="38">
        <v>9.9791570838154611E-2</v>
      </c>
      <c r="P177" s="38">
        <v>0.2858824850411727</v>
      </c>
      <c r="S177" s="28"/>
      <c r="T177" s="28"/>
      <c r="U177" s="28"/>
      <c r="V177" s="27"/>
      <c r="W177" s="27"/>
      <c r="X177" s="27"/>
      <c r="Y177" s="27"/>
      <c r="Z177" s="27"/>
    </row>
    <row r="178" spans="1:26" ht="15" customHeight="1" x14ac:dyDescent="0.2">
      <c r="A178" s="12"/>
      <c r="C178" s="30"/>
      <c r="D178" s="29"/>
      <c r="E178" s="29"/>
      <c r="F178" s="28"/>
      <c r="G178" s="28"/>
      <c r="H178" s="28"/>
      <c r="I178" s="28"/>
      <c r="J178" s="28"/>
      <c r="K178" s="28"/>
      <c r="L178" s="28"/>
      <c r="M178" s="28"/>
      <c r="N178" s="28"/>
      <c r="O178" s="28"/>
      <c r="P178" s="28"/>
      <c r="S178" s="28"/>
      <c r="T178" s="28"/>
      <c r="U178" s="28"/>
      <c r="V178" s="27"/>
      <c r="W178" s="27"/>
      <c r="X178" s="27"/>
      <c r="Y178" s="27"/>
      <c r="Z178" s="27"/>
    </row>
    <row r="179" spans="1:26" ht="15" customHeight="1" x14ac:dyDescent="0.2">
      <c r="A179" s="12"/>
      <c r="B179" s="41" t="s">
        <v>43</v>
      </c>
      <c r="C179" s="41">
        <v>2017</v>
      </c>
      <c r="D179" s="41">
        <f>C179+1</f>
        <v>2018</v>
      </c>
      <c r="E179" s="41">
        <f>D179+1</f>
        <v>2019</v>
      </c>
      <c r="F179" s="41">
        <f>E179+1</f>
        <v>2020</v>
      </c>
      <c r="G179" s="41">
        <f>F179+1</f>
        <v>2021</v>
      </c>
      <c r="H179" s="41">
        <f>G179+1</f>
        <v>2022</v>
      </c>
      <c r="I179" s="41">
        <f>H179+1</f>
        <v>2023</v>
      </c>
      <c r="J179" s="41">
        <f>I179+1</f>
        <v>2024</v>
      </c>
      <c r="K179" s="41">
        <f>J179+1</f>
        <v>2025</v>
      </c>
      <c r="L179" s="41">
        <f>K179+1</f>
        <v>2026</v>
      </c>
      <c r="M179" s="41">
        <f>L179+1</f>
        <v>2027</v>
      </c>
      <c r="N179" s="41">
        <f>M179+1</f>
        <v>2028</v>
      </c>
      <c r="O179" s="41">
        <f>N179+1</f>
        <v>2029</v>
      </c>
      <c r="P179" s="41">
        <f>O179+1</f>
        <v>2030</v>
      </c>
      <c r="S179" s="28"/>
      <c r="T179" s="28"/>
      <c r="U179" s="28"/>
      <c r="V179" s="27"/>
      <c r="W179" s="27"/>
      <c r="X179" s="27"/>
      <c r="Y179" s="27"/>
      <c r="Z179" s="27"/>
    </row>
    <row r="180" spans="1:26" ht="15" customHeight="1" x14ac:dyDescent="0.2">
      <c r="A180" s="12" t="str">
        <f>$B$179&amp;B180</f>
        <v>Emerging Drug Uptake:EU5Regorafenib</v>
      </c>
      <c r="B180" s="17" t="s">
        <v>27</v>
      </c>
      <c r="C180" s="38">
        <f>C161*$P104</f>
        <v>0</v>
      </c>
      <c r="D180" s="38">
        <f>D161*$P104</f>
        <v>0</v>
      </c>
      <c r="E180" s="38">
        <f>E161*$P104</f>
        <v>0</v>
      </c>
      <c r="F180" s="38">
        <f>F161*$P104</f>
        <v>0</v>
      </c>
      <c r="G180" s="38">
        <f>G161*$P104</f>
        <v>0</v>
      </c>
      <c r="H180" s="38">
        <f>H161*$P104</f>
        <v>0</v>
      </c>
      <c r="I180" s="38">
        <f>I161*$P104</f>
        <v>0</v>
      </c>
      <c r="J180" s="38">
        <f>J161*$P104</f>
        <v>0</v>
      </c>
      <c r="K180" s="38">
        <f>K161*$P104</f>
        <v>1.7992695096363247E-3</v>
      </c>
      <c r="L180" s="38">
        <f>L161*$P104</f>
        <v>8.5711304102335621E-3</v>
      </c>
      <c r="M180" s="38">
        <f>M161*$P104</f>
        <v>2.8137261628149619E-2</v>
      </c>
      <c r="N180" s="38">
        <f>N161*$P104</f>
        <v>5.8298741566952847E-2</v>
      </c>
      <c r="O180" s="38">
        <f>O161*$P104</f>
        <v>7.810200102732387E-2</v>
      </c>
      <c r="P180" s="38">
        <f>P161*$P104</f>
        <v>8.5000000000000006E-2</v>
      </c>
      <c r="S180" s="28"/>
      <c r="T180" s="28"/>
      <c r="U180" s="28"/>
      <c r="V180" s="27"/>
      <c r="W180" s="27"/>
      <c r="X180" s="27"/>
      <c r="Y180" s="27"/>
      <c r="Z180" s="27"/>
    </row>
    <row r="181" spans="1:26" ht="15" customHeight="1" x14ac:dyDescent="0.2">
      <c r="A181" s="12" t="str">
        <f>$B$179&amp;B181</f>
        <v>Emerging Drug Uptake:EU5Trans Sodium Crocetinate </v>
      </c>
      <c r="B181" s="39" t="s">
        <v>25</v>
      </c>
      <c r="C181" s="38">
        <f>C162*$P105</f>
        <v>0</v>
      </c>
      <c r="D181" s="38">
        <f>D162*$P105</f>
        <v>0</v>
      </c>
      <c r="E181" s="38">
        <f>E162*$P105</f>
        <v>0</v>
      </c>
      <c r="F181" s="38">
        <f>F162*$P105</f>
        <v>0</v>
      </c>
      <c r="G181" s="38">
        <f>G162*$P105</f>
        <v>0</v>
      </c>
      <c r="H181" s="38">
        <f>H162*$P105</f>
        <v>0</v>
      </c>
      <c r="I181" s="38">
        <f>I162*$P105</f>
        <v>1.7040140650085192E-3</v>
      </c>
      <c r="J181" s="38">
        <f>J162*$P105</f>
        <v>8.1173646826329625E-3</v>
      </c>
      <c r="K181" s="38">
        <f>K162*$P105</f>
        <v>2.6647641894894641E-2</v>
      </c>
      <c r="L181" s="38">
        <f>L162*$P105</f>
        <v>5.5212337601643575E-2</v>
      </c>
      <c r="M181" s="38">
        <f>M162*$P105</f>
        <v>7.3967189208230255E-2</v>
      </c>
      <c r="N181" s="38">
        <f>N162*$P105</f>
        <v>8.0500000000000002E-2</v>
      </c>
      <c r="O181" s="38">
        <f>O162*$P105</f>
        <v>8.0500000000000002E-2</v>
      </c>
      <c r="P181" s="38">
        <f>P162*$P105</f>
        <v>8.0500000000000002E-2</v>
      </c>
      <c r="S181" s="28"/>
      <c r="T181" s="28"/>
      <c r="U181" s="28"/>
      <c r="V181" s="27"/>
      <c r="W181" s="27"/>
      <c r="X181" s="27"/>
      <c r="Y181" s="27"/>
      <c r="Z181" s="27"/>
    </row>
    <row r="182" spans="1:26" ht="15" customHeight="1" x14ac:dyDescent="0.2">
      <c r="A182" s="12" t="str">
        <f>$B$179&amp;B182</f>
        <v>Emerging Drug Uptake:EU5Ofranergene obadenovec (VB-111)</v>
      </c>
      <c r="B182" s="40" t="s">
        <v>24</v>
      </c>
      <c r="C182" s="38">
        <f>C163*$P106</f>
        <v>0</v>
      </c>
      <c r="D182" s="38">
        <f>D163*$P106</f>
        <v>0</v>
      </c>
      <c r="E182" s="38">
        <f>E163*$P106</f>
        <v>0</v>
      </c>
      <c r="F182" s="38">
        <f>F163*$P106</f>
        <v>0</v>
      </c>
      <c r="G182" s="38">
        <f>G163*$P106</f>
        <v>0</v>
      </c>
      <c r="H182" s="38">
        <f>H163*$P106</f>
        <v>0</v>
      </c>
      <c r="I182" s="38">
        <f>I163*$P106</f>
        <v>0</v>
      </c>
      <c r="J182" s="38">
        <f>J163*$P106</f>
        <v>6.0315601488089123E-3</v>
      </c>
      <c r="K182" s="38">
        <f>K163*$P106</f>
        <v>2.5072360366967323E-2</v>
      </c>
      <c r="L182" s="38">
        <f>L163*$P106</f>
        <v>6.0163980539408309E-2</v>
      </c>
      <c r="M182" s="38">
        <f>M163*$P106</f>
        <v>8.8113774654407423E-2</v>
      </c>
      <c r="N182" s="38">
        <f>N163*$P106</f>
        <v>9.8991656599982145E-2</v>
      </c>
      <c r="O182" s="38">
        <f>O163*$P106</f>
        <v>0.10199999999999999</v>
      </c>
      <c r="P182" s="38">
        <f>P163*$P106</f>
        <v>0.10199999999999999</v>
      </c>
      <c r="S182" s="28"/>
      <c r="T182" s="28"/>
      <c r="U182" s="28"/>
      <c r="V182" s="27"/>
      <c r="W182" s="27"/>
      <c r="X182" s="27"/>
      <c r="Y182" s="27"/>
      <c r="Z182" s="27"/>
    </row>
    <row r="183" spans="1:26" ht="15" customHeight="1" x14ac:dyDescent="0.2">
      <c r="A183" s="12" t="str">
        <f>$B$179&amp;B183</f>
        <v>Emerging Drug Uptake:EU5Durvalumab</v>
      </c>
      <c r="B183" s="17" t="s">
        <v>23</v>
      </c>
      <c r="C183" s="38">
        <f>C164*$P107</f>
        <v>0</v>
      </c>
      <c r="D183" s="38">
        <f>D164*$P107</f>
        <v>0</v>
      </c>
      <c r="E183" s="38">
        <f>E164*$P107</f>
        <v>0</v>
      </c>
      <c r="F183" s="38">
        <f>F164*$P107</f>
        <v>0</v>
      </c>
      <c r="G183" s="38">
        <f>G164*$P107</f>
        <v>0</v>
      </c>
      <c r="H183" s="38">
        <f>H164*$P107</f>
        <v>0</v>
      </c>
      <c r="I183" s="38">
        <f>I164*$P107</f>
        <v>0</v>
      </c>
      <c r="J183" s="38">
        <f>J164*$P107</f>
        <v>2.8159908315608185E-3</v>
      </c>
      <c r="K183" s="38">
        <f>K164*$P107</f>
        <v>1.0877222059191612E-2</v>
      </c>
      <c r="L183" s="38">
        <f>L164*$P107</f>
        <v>2.7144098217611982E-2</v>
      </c>
      <c r="M183" s="38">
        <f>M164*$P107</f>
        <v>4.4937948297707475E-2</v>
      </c>
      <c r="N183" s="38">
        <f>N164*$P107</f>
        <v>5.5054222471621436E-2</v>
      </c>
      <c r="O183" s="38">
        <f>O164*$P107</f>
        <v>5.8824762380385136E-2</v>
      </c>
      <c r="P183" s="38">
        <f>P164*$P107</f>
        <v>0.06</v>
      </c>
      <c r="S183" s="28"/>
      <c r="T183" s="28"/>
      <c r="U183" s="28"/>
      <c r="V183" s="27"/>
      <c r="W183" s="27"/>
      <c r="X183" s="27"/>
      <c r="Y183" s="27"/>
      <c r="Z183" s="27"/>
    </row>
    <row r="184" spans="1:26" ht="15" customHeight="1" x14ac:dyDescent="0.2">
      <c r="A184" s="12" t="str">
        <f>$B$179&amp;B184</f>
        <v>Emerging Drug Uptake:EU5Tasadenoturev (DNX-2401) + Pembrolizumab</v>
      </c>
      <c r="B184" s="40" t="s">
        <v>22</v>
      </c>
      <c r="C184" s="38">
        <f>C165*$P108</f>
        <v>0</v>
      </c>
      <c r="D184" s="38">
        <f>D165*$P108</f>
        <v>0</v>
      </c>
      <c r="E184" s="38">
        <f>E165*$P108</f>
        <v>0</v>
      </c>
      <c r="F184" s="38">
        <f>F165*$P108</f>
        <v>0</v>
      </c>
      <c r="G184" s="38">
        <f>G165*$P108</f>
        <v>0</v>
      </c>
      <c r="H184" s="38">
        <f>H165*$P108</f>
        <v>0</v>
      </c>
      <c r="I184" s="38">
        <f>I165*$P108</f>
        <v>0</v>
      </c>
      <c r="J184" s="38">
        <f>J165*$P108</f>
        <v>9.9678211620295339E-4</v>
      </c>
      <c r="K184" s="38">
        <f>K165*$P108</f>
        <v>4.236008585852857E-3</v>
      </c>
      <c r="L184" s="38">
        <f>L165*$P108</f>
        <v>1.3249897004048397E-2</v>
      </c>
      <c r="M184" s="38">
        <f>M165*$P108</f>
        <v>3.0348722665368907E-2</v>
      </c>
      <c r="N184" s="38">
        <f>N165*$P108</f>
        <v>4.7548700223021281E-2</v>
      </c>
      <c r="O184" s="38">
        <f>O165*$P108</f>
        <v>5.6698084274733135E-2</v>
      </c>
      <c r="P184" s="38">
        <f>P165*$P108</f>
        <v>0.06</v>
      </c>
      <c r="S184" s="28"/>
      <c r="T184" s="28"/>
      <c r="U184" s="28"/>
      <c r="V184" s="27"/>
      <c r="W184" s="27"/>
      <c r="X184" s="27"/>
      <c r="Y184" s="27"/>
      <c r="Z184" s="27"/>
    </row>
    <row r="185" spans="1:26" ht="15" customHeight="1" x14ac:dyDescent="0.2">
      <c r="A185" s="12" t="str">
        <f>$B$179&amp;B185</f>
        <v>Emerging Drug Uptake:EU5VAL-083 (Dianhydrogalactitol)</v>
      </c>
      <c r="B185" s="17" t="s">
        <v>21</v>
      </c>
      <c r="C185" s="38">
        <f>C166*$P109</f>
        <v>0</v>
      </c>
      <c r="D185" s="38">
        <f>D166*$P109</f>
        <v>0</v>
      </c>
      <c r="E185" s="38">
        <f>E166*$P109</f>
        <v>0</v>
      </c>
      <c r="F185" s="38">
        <f>F166*$P109</f>
        <v>0</v>
      </c>
      <c r="G185" s="38">
        <f>G166*$P109</f>
        <v>0</v>
      </c>
      <c r="H185" s="38">
        <f>H166*$P109</f>
        <v>0</v>
      </c>
      <c r="I185" s="38">
        <f>I166*$P109</f>
        <v>0</v>
      </c>
      <c r="J185" s="38">
        <f>J166*$P109</f>
        <v>8.9710390458265813E-4</v>
      </c>
      <c r="K185" s="38">
        <f>K166*$P109</f>
        <v>3.8124077272675711E-3</v>
      </c>
      <c r="L185" s="38">
        <f>L166*$P109</f>
        <v>1.1924907303643557E-2</v>
      </c>
      <c r="M185" s="38">
        <f>M166*$P109</f>
        <v>2.7313850398832017E-2</v>
      </c>
      <c r="N185" s="38">
        <f>N166*$P109</f>
        <v>4.2793830200719155E-2</v>
      </c>
      <c r="O185" s="38">
        <f>O166*$P109</f>
        <v>5.1028275847259823E-2</v>
      </c>
      <c r="P185" s="38">
        <f>P166*$P109</f>
        <v>5.3999999999999999E-2</v>
      </c>
      <c r="S185" s="28"/>
      <c r="T185" s="28"/>
      <c r="U185" s="28"/>
      <c r="V185" s="27"/>
      <c r="W185" s="27"/>
      <c r="X185" s="27"/>
      <c r="Y185" s="27"/>
      <c r="Z185" s="27"/>
    </row>
    <row r="186" spans="1:26" ht="15" customHeight="1" x14ac:dyDescent="0.2">
      <c r="A186" s="12" t="str">
        <f>$B$179&amp;B186</f>
        <v>Emerging Drug Uptake:EU5ONC201</v>
      </c>
      <c r="B186" s="17" t="s">
        <v>20</v>
      </c>
      <c r="C186" s="38">
        <f>C167*$P110</f>
        <v>0</v>
      </c>
      <c r="D186" s="38">
        <f>D167*$P110</f>
        <v>0</v>
      </c>
      <c r="E186" s="38">
        <f>E167*$P110</f>
        <v>0</v>
      </c>
      <c r="F186" s="38">
        <f>F167*$P110</f>
        <v>0</v>
      </c>
      <c r="G186" s="38">
        <f>G167*$P110</f>
        <v>0</v>
      </c>
      <c r="H186" s="38">
        <f>H167*$P110</f>
        <v>0</v>
      </c>
      <c r="I186" s="38">
        <f>I167*$P110</f>
        <v>0</v>
      </c>
      <c r="J186" s="38">
        <f>J167*$P110</f>
        <v>0</v>
      </c>
      <c r="K186" s="38">
        <f>K167*$P110</f>
        <v>8.4726479877251051E-4</v>
      </c>
      <c r="L186" s="38">
        <f>L167*$P110</f>
        <v>3.6006072979749286E-3</v>
      </c>
      <c r="M186" s="38">
        <f>M167*$P110</f>
        <v>1.1262412453441138E-2</v>
      </c>
      <c r="N186" s="38">
        <f>N167*$P110</f>
        <v>2.5796414265563575E-2</v>
      </c>
      <c r="O186" s="38">
        <f>O167*$P110</f>
        <v>4.0416395189568098E-2</v>
      </c>
      <c r="P186" s="38">
        <f>P167*$P110</f>
        <v>4.819337163352317E-2</v>
      </c>
      <c r="S186" s="28"/>
      <c r="T186" s="28"/>
      <c r="U186" s="28"/>
      <c r="V186" s="27"/>
      <c r="W186" s="27"/>
      <c r="X186" s="27"/>
      <c r="Y186" s="27"/>
      <c r="Z186" s="27"/>
    </row>
    <row r="187" spans="1:26" ht="15" customHeight="1" x14ac:dyDescent="0.2">
      <c r="A187" s="12" t="str">
        <f>$B$179&amp;B187</f>
        <v>Emerging Drug Uptake:EU5Selinexor (KPT-330)</v>
      </c>
      <c r="B187" s="40" t="s">
        <v>19</v>
      </c>
      <c r="C187" s="38">
        <f>C168*$P111</f>
        <v>0</v>
      </c>
      <c r="D187" s="38">
        <f>D168*$P111</f>
        <v>0</v>
      </c>
      <c r="E187" s="38">
        <f>E168*$P111</f>
        <v>0</v>
      </c>
      <c r="F187" s="38">
        <f>F168*$P111</f>
        <v>0</v>
      </c>
      <c r="G187" s="38">
        <f>G168*$P111</f>
        <v>0</v>
      </c>
      <c r="H187" s="38">
        <f>H168*$P111</f>
        <v>0</v>
      </c>
      <c r="I187" s="38">
        <f>I168*$P111</f>
        <v>0</v>
      </c>
      <c r="J187" s="38">
        <f>J168*$P111</f>
        <v>0</v>
      </c>
      <c r="K187" s="38">
        <f>K168*$P111</f>
        <v>3.2383894562949414E-3</v>
      </c>
      <c r="L187" s="38">
        <f>L168*$P111</f>
        <v>1.2508805368070355E-2</v>
      </c>
      <c r="M187" s="38">
        <f>M168*$P111</f>
        <v>3.1215712950253785E-2</v>
      </c>
      <c r="N187" s="38">
        <f>N168*$P111</f>
        <v>5.1678640542363603E-2</v>
      </c>
      <c r="O187" s="38">
        <f>O168*$P111</f>
        <v>6.3312355842364651E-2</v>
      </c>
      <c r="P187" s="38">
        <f>P168*$P111</f>
        <v>6.7648476737442911E-2</v>
      </c>
      <c r="S187" s="28"/>
      <c r="T187" s="28"/>
      <c r="U187" s="28"/>
      <c r="V187" s="27"/>
      <c r="W187" s="27"/>
      <c r="X187" s="27"/>
      <c r="Y187" s="27"/>
      <c r="Z187" s="27"/>
    </row>
    <row r="188" spans="1:26" ht="15" customHeight="1" x14ac:dyDescent="0.2">
      <c r="A188" s="12" t="str">
        <f>$B$179&amp;B188</f>
        <v>Emerging Drug Uptake:EU5VBI-1901</v>
      </c>
      <c r="B188" s="40" t="s">
        <v>18</v>
      </c>
      <c r="C188" s="38">
        <f>C169*$P112</f>
        <v>0</v>
      </c>
      <c r="D188" s="38">
        <f>D169*$P112</f>
        <v>0</v>
      </c>
      <c r="E188" s="38">
        <f>E169*$P112</f>
        <v>0</v>
      </c>
      <c r="F188" s="38">
        <f>F169*$P112</f>
        <v>0</v>
      </c>
      <c r="G188" s="38">
        <f>G169*$P112</f>
        <v>0</v>
      </c>
      <c r="H188" s="38">
        <f>H169*$P112</f>
        <v>0</v>
      </c>
      <c r="I188" s="38">
        <f>I169*$P112</f>
        <v>0</v>
      </c>
      <c r="J188" s="38">
        <f>J169*$P112</f>
        <v>0</v>
      </c>
      <c r="K188" s="38">
        <f>K169*$P112</f>
        <v>0</v>
      </c>
      <c r="L188" s="38">
        <f>L169*$P112</f>
        <v>0</v>
      </c>
      <c r="M188" s="38">
        <f>M169*$P112</f>
        <v>1.0404381074881556E-4</v>
      </c>
      <c r="N188" s="38">
        <f>N169*$P112</f>
        <v>4.1374644779240596E-4</v>
      </c>
      <c r="O188" s="38">
        <f>O169*$P112</f>
        <v>1.2996045789147321E-3</v>
      </c>
      <c r="P188" s="38">
        <f>P169*$P112</f>
        <v>3.569471620604166E-3</v>
      </c>
      <c r="S188" s="28"/>
      <c r="T188" s="28"/>
      <c r="U188" s="28"/>
      <c r="V188" s="27"/>
      <c r="W188" s="27"/>
      <c r="X188" s="27"/>
      <c r="Y188" s="27"/>
      <c r="Z188" s="27"/>
    </row>
    <row r="189" spans="1:26" x14ac:dyDescent="0.2">
      <c r="A189" s="12" t="str">
        <f>$B$179&amp;B189</f>
        <v>Emerging Drug Uptake:EU5Paxalisib (GDC-0084)</v>
      </c>
      <c r="B189" s="39" t="s">
        <v>17</v>
      </c>
      <c r="C189" s="38">
        <f>C170*$P113</f>
        <v>0</v>
      </c>
      <c r="D189" s="38">
        <f>D170*$P113</f>
        <v>0</v>
      </c>
      <c r="E189" s="38">
        <f>E170*$P113</f>
        <v>0</v>
      </c>
      <c r="F189" s="38">
        <f>F170*$P113</f>
        <v>0</v>
      </c>
      <c r="G189" s="38">
        <f>G170*$P113</f>
        <v>0</v>
      </c>
      <c r="H189" s="38">
        <f>H170*$P113</f>
        <v>0</v>
      </c>
      <c r="I189" s="38">
        <f>I170*$P113</f>
        <v>0</v>
      </c>
      <c r="J189" s="38">
        <f>J170*$P113</f>
        <v>0</v>
      </c>
      <c r="K189" s="38">
        <f>K170*$P113</f>
        <v>7.4758658715221504E-4</v>
      </c>
      <c r="L189" s="38">
        <f>L170*$P113</f>
        <v>3.1770064393896423E-3</v>
      </c>
      <c r="M189" s="38">
        <f>M170*$P113</f>
        <v>9.9374227530362978E-3</v>
      </c>
      <c r="N189" s="38">
        <f>N170*$P113</f>
        <v>2.2761541999026681E-2</v>
      </c>
      <c r="O189" s="38">
        <f>O170*$P113</f>
        <v>3.5661525167265964E-2</v>
      </c>
      <c r="P189" s="38">
        <f>P170*$P113</f>
        <v>4.2523563206049851E-2</v>
      </c>
      <c r="S189" s="28"/>
      <c r="T189" s="28"/>
      <c r="U189" s="28"/>
      <c r="V189" s="27"/>
      <c r="W189" s="27"/>
      <c r="X189" s="27"/>
      <c r="Y189" s="27"/>
      <c r="Z189" s="27"/>
    </row>
    <row r="190" spans="1:26" ht="15" customHeight="1" x14ac:dyDescent="0.2">
      <c r="A190" s="12" t="str">
        <f>$B$179&amp;B190</f>
        <v>Emerging Drug Uptake:EU5AV-GBM-1</v>
      </c>
      <c r="B190" s="39" t="s">
        <v>16</v>
      </c>
      <c r="C190" s="38">
        <f>C171*$P114</f>
        <v>0</v>
      </c>
      <c r="D190" s="38">
        <f>D171*$P114</f>
        <v>0</v>
      </c>
      <c r="E190" s="38">
        <f>E171*$P114</f>
        <v>0</v>
      </c>
      <c r="F190" s="38">
        <f>F171*$P114</f>
        <v>0</v>
      </c>
      <c r="G190" s="38">
        <f>G171*$P114</f>
        <v>0</v>
      </c>
      <c r="H190" s="38">
        <f>H171*$P114</f>
        <v>0</v>
      </c>
      <c r="I190" s="38">
        <f>I171*$P114</f>
        <v>0</v>
      </c>
      <c r="J190" s="38">
        <f>J171*$P114</f>
        <v>0</v>
      </c>
      <c r="K190" s="38">
        <f>K171*$P114</f>
        <v>7.4758658715221504E-4</v>
      </c>
      <c r="L190" s="38">
        <f>L171*$P114</f>
        <v>3.1770064393896423E-3</v>
      </c>
      <c r="M190" s="38">
        <f>M171*$P114</f>
        <v>9.9374227530362978E-3</v>
      </c>
      <c r="N190" s="38">
        <f>N171*$P114</f>
        <v>2.2761541999026681E-2</v>
      </c>
      <c r="O190" s="38">
        <f>O171*$P114</f>
        <v>3.5661525167265964E-2</v>
      </c>
      <c r="P190" s="38">
        <f>P171*$P114</f>
        <v>4.2523563206049851E-2</v>
      </c>
      <c r="S190" s="28"/>
      <c r="T190" s="28"/>
      <c r="U190" s="28"/>
      <c r="V190" s="27"/>
      <c r="W190" s="27"/>
      <c r="X190" s="27"/>
      <c r="Y190" s="27"/>
      <c r="Z190" s="27"/>
    </row>
    <row r="191" spans="1:26" ht="15" customHeight="1" x14ac:dyDescent="0.2">
      <c r="A191" s="12" t="str">
        <f>$B$179&amp;B191</f>
        <v xml:space="preserve">Emerging Drug Uptake:EU5MDNA55 </v>
      </c>
      <c r="B191" s="17" t="s">
        <v>15</v>
      </c>
      <c r="C191" s="38">
        <f>C172*$P115</f>
        <v>0</v>
      </c>
      <c r="D191" s="38">
        <f>D172*$P115</f>
        <v>0</v>
      </c>
      <c r="E191" s="38">
        <f>E172*$P115</f>
        <v>0</v>
      </c>
      <c r="F191" s="38">
        <f>F172*$P115</f>
        <v>0</v>
      </c>
      <c r="G191" s="38">
        <f>G172*$P115</f>
        <v>0</v>
      </c>
      <c r="H191" s="38">
        <f>H172*$P115</f>
        <v>0</v>
      </c>
      <c r="I191" s="38">
        <f>I172*$P115</f>
        <v>0</v>
      </c>
      <c r="J191" s="38">
        <f>J172*$P115</f>
        <v>0</v>
      </c>
      <c r="K191" s="38">
        <f>K172*$P115</f>
        <v>9.4694301039280565E-4</v>
      </c>
      <c r="L191" s="38">
        <f>L172*$P115</f>
        <v>4.0242081565602132E-3</v>
      </c>
      <c r="M191" s="38">
        <f>M172*$P115</f>
        <v>1.2587402153845977E-2</v>
      </c>
      <c r="N191" s="38">
        <f>N172*$P115</f>
        <v>2.8831286532100459E-2</v>
      </c>
      <c r="O191" s="38">
        <f>O172*$P115</f>
        <v>4.5171265211870218E-2</v>
      </c>
      <c r="P191" s="38">
        <f>P172*$P115</f>
        <v>5.3863180060996475E-2</v>
      </c>
      <c r="S191" s="28"/>
      <c r="T191" s="28"/>
      <c r="U191" s="28"/>
      <c r="V191" s="27"/>
      <c r="W191" s="27"/>
      <c r="X191" s="27"/>
      <c r="Y191" s="27"/>
      <c r="Z191" s="27"/>
    </row>
    <row r="192" spans="1:26" ht="15" customHeight="1" x14ac:dyDescent="0.2">
      <c r="A192" s="12" t="str">
        <f>$B$179&amp;B192</f>
        <v>Emerging Drug Uptake:EU5pp65-shLAMP DC with GM-CSF (ITI-1000)</v>
      </c>
      <c r="B192" s="39" t="s">
        <v>14</v>
      </c>
      <c r="C192" s="38">
        <f>C173*$P116</f>
        <v>0</v>
      </c>
      <c r="D192" s="38">
        <f>D173*$P116</f>
        <v>0</v>
      </c>
      <c r="E192" s="38">
        <f>E173*$P116</f>
        <v>0</v>
      </c>
      <c r="F192" s="38">
        <f>F173*$P116</f>
        <v>0</v>
      </c>
      <c r="G192" s="38">
        <f>G173*$P116</f>
        <v>0</v>
      </c>
      <c r="H192" s="38">
        <f>H173*$P116</f>
        <v>0</v>
      </c>
      <c r="I192" s="38">
        <f>I173*$P116</f>
        <v>0</v>
      </c>
      <c r="J192" s="38">
        <f>J173*$P116</f>
        <v>0</v>
      </c>
      <c r="K192" s="38">
        <f>K173*$P116</f>
        <v>0</v>
      </c>
      <c r="L192" s="38">
        <f>L173*$P116</f>
        <v>0</v>
      </c>
      <c r="M192" s="38">
        <f>M173*$P116</f>
        <v>0</v>
      </c>
      <c r="N192" s="38">
        <f>N173*$P116</f>
        <v>6.4790837553191979E-4</v>
      </c>
      <c r="O192" s="38">
        <f>O173*$P116</f>
        <v>2.7534055808043569E-3</v>
      </c>
      <c r="P192" s="38">
        <f>P173*$P116</f>
        <v>8.6124330526314574E-3</v>
      </c>
      <c r="S192" s="28"/>
      <c r="T192" s="28"/>
      <c r="U192" s="28"/>
      <c r="V192" s="27"/>
      <c r="W192" s="27"/>
      <c r="X192" s="27"/>
      <c r="Y192" s="27"/>
      <c r="Z192" s="27"/>
    </row>
    <row r="193" spans="1:26" ht="15" customHeight="1" x14ac:dyDescent="0.2">
      <c r="A193" s="12" t="str">
        <f>$B$179&amp;B193</f>
        <v>Emerging Drug Uptake:EU5INO-5401+ INO-9012+Cemiplimab (REGN2810)</v>
      </c>
      <c r="B193" s="39" t="s">
        <v>13</v>
      </c>
      <c r="C193" s="38">
        <f>C174*$P117</f>
        <v>0</v>
      </c>
      <c r="D193" s="38">
        <f>D174*$P117</f>
        <v>0</v>
      </c>
      <c r="E193" s="38">
        <f>E174*$P117</f>
        <v>0</v>
      </c>
      <c r="F193" s="38">
        <f>F174*$P117</f>
        <v>0</v>
      </c>
      <c r="G193" s="38">
        <f>G174*$P117</f>
        <v>0</v>
      </c>
      <c r="H193" s="38">
        <f>H174*$P117</f>
        <v>0</v>
      </c>
      <c r="I193" s="38">
        <f>I174*$P117</f>
        <v>0</v>
      </c>
      <c r="J193" s="38">
        <f>J174*$P117</f>
        <v>0</v>
      </c>
      <c r="K193" s="38">
        <f>K174*$P117</f>
        <v>4.6214670801401886E-4</v>
      </c>
      <c r="L193" s="38">
        <f>L174*$P117</f>
        <v>1.7934815613166294E-3</v>
      </c>
      <c r="M193" s="38">
        <f>M174*$P117</f>
        <v>5.269948395748846E-3</v>
      </c>
      <c r="N193" s="38">
        <f>N174*$P117</f>
        <v>1.2420783143405958E-2</v>
      </c>
      <c r="O193" s="38">
        <f>O174*$P117</f>
        <v>2.188380610644711E-2</v>
      </c>
      <c r="P193" s="38">
        <f>P174*$P117</f>
        <v>2.9107494134153665E-2</v>
      </c>
      <c r="S193" s="28"/>
      <c r="T193" s="28"/>
      <c r="U193" s="28"/>
      <c r="V193" s="27"/>
      <c r="W193" s="27"/>
      <c r="X193" s="27"/>
      <c r="Y193" s="27"/>
      <c r="Z193" s="27"/>
    </row>
    <row r="194" spans="1:26" ht="15" customHeight="1" x14ac:dyDescent="0.2">
      <c r="A194" s="12" t="str">
        <f>$B$179&amp;B194</f>
        <v>Emerging Drug Uptake:EU5Eflornithine + Lomustine</v>
      </c>
      <c r="B194" s="17" t="s">
        <v>12</v>
      </c>
      <c r="C194" s="38">
        <f>C175*$P118</f>
        <v>0</v>
      </c>
      <c r="D194" s="38">
        <f>D175*$P118</f>
        <v>0</v>
      </c>
      <c r="E194" s="38">
        <f>E175*$P118</f>
        <v>0</v>
      </c>
      <c r="F194" s="38">
        <f>F175*$P118</f>
        <v>0</v>
      </c>
      <c r="G194" s="38">
        <f>G175*$P118</f>
        <v>0</v>
      </c>
      <c r="H194" s="38">
        <f>H175*$P118</f>
        <v>5.3219648371843351E-3</v>
      </c>
      <c r="I194" s="38">
        <f>I175*$P118</f>
        <v>2.2122670912029997E-2</v>
      </c>
      <c r="J194" s="38">
        <f>J175*$P118</f>
        <v>5.3085865181830873E-2</v>
      </c>
      <c r="K194" s="38">
        <f>K175*$P118</f>
        <v>7.7747448224477156E-2</v>
      </c>
      <c r="L194" s="38">
        <f>L175*$P118</f>
        <v>8.7345579352925432E-2</v>
      </c>
      <c r="M194" s="38">
        <f>M175*$P118</f>
        <v>9.0000000000000011E-2</v>
      </c>
      <c r="N194" s="38">
        <f>N175*$P118</f>
        <v>9.0000000000000011E-2</v>
      </c>
      <c r="O194" s="38">
        <f>O175*$P118</f>
        <v>9.0000000000000011E-2</v>
      </c>
      <c r="P194" s="38">
        <f>P175*$P118</f>
        <v>9.0000000000000011E-2</v>
      </c>
      <c r="S194" s="28"/>
      <c r="T194" s="28"/>
      <c r="U194" s="28"/>
      <c r="V194" s="27"/>
      <c r="W194" s="27"/>
      <c r="X194" s="27"/>
      <c r="Y194" s="27"/>
      <c r="Z194" s="27"/>
    </row>
    <row r="195" spans="1:26" ht="15" customHeight="1" x14ac:dyDescent="0.2">
      <c r="A195" s="12" t="str">
        <f>$B$179&amp;B195</f>
        <v>Emerging Drug Uptake:EU5Everolimus (RAD001)</v>
      </c>
      <c r="B195" s="17" t="s">
        <v>11</v>
      </c>
      <c r="C195" s="38">
        <f>C176*$P119</f>
        <v>0</v>
      </c>
      <c r="D195" s="38">
        <f>D176*$P119</f>
        <v>0</v>
      </c>
      <c r="E195" s="38">
        <f>E176*$P119</f>
        <v>0</v>
      </c>
      <c r="F195" s="38">
        <f>F176*$P119</f>
        <v>0</v>
      </c>
      <c r="G195" s="38">
        <f>G176*$P119</f>
        <v>0</v>
      </c>
      <c r="H195" s="38">
        <f>H176*$P119</f>
        <v>0</v>
      </c>
      <c r="I195" s="38">
        <f>I176*$P119</f>
        <v>0</v>
      </c>
      <c r="J195" s="38">
        <f>J176*$P119</f>
        <v>0</v>
      </c>
      <c r="K195" s="38">
        <f>K176*$P119</f>
        <v>0</v>
      </c>
      <c r="L195" s="38">
        <f>L176*$P119</f>
        <v>1.0833392201889305E-3</v>
      </c>
      <c r="M195" s="38">
        <f>M176*$P119</f>
        <v>3.9170685171553352E-3</v>
      </c>
      <c r="N195" s="38">
        <f>N176*$P119</f>
        <v>9.7679604498505362E-3</v>
      </c>
      <c r="O195" s="38">
        <f>O176*$P119</f>
        <v>1.7556803245516353E-2</v>
      </c>
      <c r="P195" s="38">
        <f>P176*$P119</f>
        <v>2.3538132425268921E-2</v>
      </c>
      <c r="S195" s="28"/>
      <c r="T195" s="28"/>
      <c r="U195" s="28"/>
      <c r="V195" s="27"/>
      <c r="W195" s="27"/>
      <c r="X195" s="27"/>
      <c r="Y195" s="27"/>
      <c r="Z195" s="27"/>
    </row>
    <row r="196" spans="1:26" ht="15" customHeight="1" x14ac:dyDescent="0.2">
      <c r="A196" s="12" t="str">
        <f>$B$179&amp;B196</f>
        <v>Emerging Drug Uptake:EU5Ad-RTS-hIL-12 + Veledimex ± Cemiplimab-Rwlc</v>
      </c>
      <c r="B196" s="17" t="s">
        <v>10</v>
      </c>
      <c r="C196" s="38">
        <f>C177*$P120</f>
        <v>0</v>
      </c>
      <c r="D196" s="38">
        <f>D177*$P120</f>
        <v>0</v>
      </c>
      <c r="E196" s="38">
        <f>E177*$P120</f>
        <v>0</v>
      </c>
      <c r="F196" s="38">
        <f>F177*$P120</f>
        <v>0</v>
      </c>
      <c r="G196" s="38">
        <f>G177*$P120</f>
        <v>0</v>
      </c>
      <c r="H196" s="38">
        <f>H177*$P120</f>
        <v>0</v>
      </c>
      <c r="I196" s="38">
        <f>I177*$P120</f>
        <v>0</v>
      </c>
      <c r="J196" s="38">
        <f>J177*$P120</f>
        <v>0</v>
      </c>
      <c r="K196" s="38">
        <f>K177*$P120</f>
        <v>0</v>
      </c>
      <c r="L196" s="38">
        <f>L177*$P120</f>
        <v>0</v>
      </c>
      <c r="M196" s="38">
        <f>M177*$P120</f>
        <v>1.9692752931401491E-4</v>
      </c>
      <c r="N196" s="38">
        <f>N177*$P120</f>
        <v>8.6562451349491462E-4</v>
      </c>
      <c r="O196" s="38">
        <f>O177*$P120</f>
        <v>2.9937471251446383E-3</v>
      </c>
      <c r="P196" s="38">
        <f>P177*$P120</f>
        <v>8.5764745512351814E-3</v>
      </c>
      <c r="S196" s="28"/>
      <c r="T196" s="28"/>
      <c r="U196" s="28"/>
      <c r="V196" s="27"/>
      <c r="W196" s="27"/>
      <c r="X196" s="27"/>
      <c r="Y196" s="27"/>
      <c r="Z196" s="27"/>
    </row>
    <row r="197" spans="1:26" ht="15" customHeight="1" x14ac:dyDescent="0.2">
      <c r="A197" s="12"/>
      <c r="C197" s="30"/>
      <c r="D197" s="29"/>
      <c r="E197" s="29"/>
      <c r="F197" s="28"/>
      <c r="G197" s="28"/>
      <c r="H197" s="28"/>
      <c r="I197" s="28"/>
      <c r="J197" s="28"/>
      <c r="K197" s="28"/>
      <c r="L197" s="28"/>
      <c r="M197" s="28"/>
      <c r="N197" s="28"/>
      <c r="O197" s="28"/>
      <c r="P197" s="28"/>
      <c r="S197" s="28"/>
      <c r="T197" s="28"/>
      <c r="U197" s="28"/>
      <c r="V197" s="27"/>
      <c r="W197" s="27"/>
      <c r="X197" s="27"/>
      <c r="Y197" s="27"/>
      <c r="Z197" s="27"/>
    </row>
    <row r="198" spans="1:26" ht="15" customHeight="1" x14ac:dyDescent="0.2">
      <c r="A198" s="12"/>
      <c r="B198" s="41" t="s">
        <v>42</v>
      </c>
      <c r="C198" s="41">
        <v>2017</v>
      </c>
      <c r="D198" s="41">
        <f>C198+1</f>
        <v>2018</v>
      </c>
      <c r="E198" s="41">
        <f>D198+1</f>
        <v>2019</v>
      </c>
      <c r="F198" s="41">
        <f>E198+1</f>
        <v>2020</v>
      </c>
      <c r="G198" s="41">
        <f>F198+1</f>
        <v>2021</v>
      </c>
      <c r="H198" s="41">
        <f>G198+1</f>
        <v>2022</v>
      </c>
      <c r="I198" s="41">
        <f>H198+1</f>
        <v>2023</v>
      </c>
      <c r="J198" s="41">
        <f>I198+1</f>
        <v>2024</v>
      </c>
      <c r="K198" s="41">
        <f>J198+1</f>
        <v>2025</v>
      </c>
      <c r="L198" s="41">
        <f>K198+1</f>
        <v>2026</v>
      </c>
      <c r="M198" s="41">
        <f>L198+1</f>
        <v>2027</v>
      </c>
      <c r="N198" s="41">
        <f>M198+1</f>
        <v>2028</v>
      </c>
      <c r="O198" s="41">
        <f>N198+1</f>
        <v>2029</v>
      </c>
      <c r="P198" s="41">
        <f>O198+1</f>
        <v>2030</v>
      </c>
      <c r="S198" s="28"/>
      <c r="T198" s="28"/>
      <c r="U198" s="28"/>
      <c r="V198" s="27"/>
      <c r="W198" s="27"/>
      <c r="X198" s="27"/>
      <c r="Y198" s="27"/>
      <c r="Z198" s="27"/>
    </row>
    <row r="199" spans="1:26" ht="15" customHeight="1" x14ac:dyDescent="0.2">
      <c r="A199" s="12" t="str">
        <f>$N104&amp;$Q104</f>
        <v>6Medium</v>
      </c>
      <c r="B199" s="17" t="s">
        <v>27</v>
      </c>
      <c r="C199" s="38">
        <v>0</v>
      </c>
      <c r="D199" s="38">
        <v>0</v>
      </c>
      <c r="E199" s="38">
        <v>0</v>
      </c>
      <c r="F199" s="38">
        <v>0</v>
      </c>
      <c r="G199" s="38">
        <v>0</v>
      </c>
      <c r="H199" s="38">
        <v>0</v>
      </c>
      <c r="I199" s="38">
        <v>0</v>
      </c>
      <c r="J199" s="38">
        <v>0</v>
      </c>
      <c r="K199" s="38">
        <v>0</v>
      </c>
      <c r="L199" s="38">
        <v>2.116787658395676E-2</v>
      </c>
      <c r="M199" s="38">
        <v>0.10083682835568897</v>
      </c>
      <c r="N199" s="38">
        <v>0.33102660738999551</v>
      </c>
      <c r="O199" s="38">
        <v>0.68586754784650406</v>
      </c>
      <c r="P199" s="38">
        <v>0.91884707090969253</v>
      </c>
      <c r="S199" s="28"/>
      <c r="T199" s="28"/>
      <c r="U199" s="28"/>
      <c r="V199" s="27"/>
      <c r="W199" s="27"/>
      <c r="X199" s="27"/>
      <c r="Y199" s="27"/>
      <c r="Z199" s="27"/>
    </row>
    <row r="200" spans="1:26" ht="15" customHeight="1" x14ac:dyDescent="0.2">
      <c r="A200" s="12" t="str">
        <f>$N105&amp;$Q105</f>
        <v>6Medium</v>
      </c>
      <c r="B200" s="39" t="s">
        <v>25</v>
      </c>
      <c r="C200" s="38">
        <v>0</v>
      </c>
      <c r="D200" s="38">
        <v>0</v>
      </c>
      <c r="E200" s="38">
        <v>0</v>
      </c>
      <c r="F200" s="38">
        <v>0</v>
      </c>
      <c r="G200" s="38">
        <v>0</v>
      </c>
      <c r="H200" s="38">
        <v>0</v>
      </c>
      <c r="I200" s="38">
        <v>0</v>
      </c>
      <c r="J200" s="38">
        <v>2.116787658395676E-2</v>
      </c>
      <c r="K200" s="38">
        <v>0.10083682835568897</v>
      </c>
      <c r="L200" s="38">
        <v>0.33102660738999551</v>
      </c>
      <c r="M200" s="38">
        <v>0.68586754784650406</v>
      </c>
      <c r="N200" s="38">
        <v>0.91884707090969253</v>
      </c>
      <c r="O200" s="38">
        <v>1</v>
      </c>
      <c r="P200" s="38">
        <v>1</v>
      </c>
      <c r="S200" s="28"/>
      <c r="T200" s="28"/>
      <c r="U200" s="28"/>
      <c r="V200" s="27"/>
      <c r="W200" s="27"/>
      <c r="X200" s="27"/>
      <c r="Y200" s="27"/>
      <c r="Z200" s="27"/>
    </row>
    <row r="201" spans="1:26" ht="15" customHeight="1" x14ac:dyDescent="0.2">
      <c r="A201" s="12" t="str">
        <f>$N106&amp;$Q106</f>
        <v>6Medium-fast</v>
      </c>
      <c r="B201" s="40" t="s">
        <v>24</v>
      </c>
      <c r="C201" s="38">
        <v>0</v>
      </c>
      <c r="D201" s="38">
        <v>0</v>
      </c>
      <c r="E201" s="38">
        <v>0</v>
      </c>
      <c r="F201" s="38">
        <v>0</v>
      </c>
      <c r="G201" s="38">
        <v>0</v>
      </c>
      <c r="H201" s="38">
        <v>0</v>
      </c>
      <c r="I201" s="38">
        <v>0</v>
      </c>
      <c r="J201" s="38">
        <v>0</v>
      </c>
      <c r="K201" s="38">
        <v>5.9132942635381498E-2</v>
      </c>
      <c r="L201" s="38">
        <v>0.24580745457811104</v>
      </c>
      <c r="M201" s="38">
        <v>0.58984294646478741</v>
      </c>
      <c r="N201" s="38">
        <v>0.86386053582752387</v>
      </c>
      <c r="O201" s="38">
        <v>0.97050643725472696</v>
      </c>
      <c r="P201" s="38">
        <v>1</v>
      </c>
      <c r="S201" s="28"/>
      <c r="T201" s="28"/>
      <c r="U201" s="28"/>
      <c r="V201" s="27"/>
      <c r="W201" s="27"/>
      <c r="X201" s="27"/>
      <c r="Y201" s="27"/>
      <c r="Z201" s="27"/>
    </row>
    <row r="202" spans="1:26" ht="15" customHeight="1" x14ac:dyDescent="0.2">
      <c r="A202" s="12" t="str">
        <f>$N107&amp;$Q107</f>
        <v>7Medium-fast</v>
      </c>
      <c r="B202" s="17" t="s">
        <v>23</v>
      </c>
      <c r="C202" s="38">
        <v>0</v>
      </c>
      <c r="D202" s="38">
        <v>0</v>
      </c>
      <c r="E202" s="38">
        <v>0</v>
      </c>
      <c r="F202" s="38">
        <v>0</v>
      </c>
      <c r="G202" s="38">
        <v>0</v>
      </c>
      <c r="H202" s="38">
        <v>0</v>
      </c>
      <c r="I202" s="38">
        <v>0</v>
      </c>
      <c r="J202" s="38">
        <v>0</v>
      </c>
      <c r="K202" s="38">
        <v>4.693318052601364E-2</v>
      </c>
      <c r="L202" s="38">
        <v>0.18128703431986021</v>
      </c>
      <c r="M202" s="38">
        <v>0.45240163696019975</v>
      </c>
      <c r="N202" s="38">
        <v>0.74896580496179133</v>
      </c>
      <c r="O202" s="38">
        <v>0.91757037452702395</v>
      </c>
      <c r="P202" s="38">
        <v>0.9804127063397523</v>
      </c>
      <c r="S202" s="28"/>
      <c r="T202" s="28"/>
      <c r="U202" s="28"/>
      <c r="V202" s="27"/>
      <c r="W202" s="27"/>
      <c r="X202" s="27"/>
      <c r="Y202" s="27"/>
      <c r="Z202" s="27"/>
    </row>
    <row r="203" spans="1:26" ht="15" customHeight="1" x14ac:dyDescent="0.2">
      <c r="A203" s="12" t="str">
        <f>$N108&amp;$Q108</f>
        <v>7Medium</v>
      </c>
      <c r="B203" s="40" t="s">
        <v>22</v>
      </c>
      <c r="C203" s="38">
        <v>0</v>
      </c>
      <c r="D203" s="38">
        <v>0</v>
      </c>
      <c r="E203" s="38">
        <v>0</v>
      </c>
      <c r="F203" s="38">
        <v>0</v>
      </c>
      <c r="G203" s="38">
        <v>0</v>
      </c>
      <c r="H203" s="38">
        <v>0</v>
      </c>
      <c r="I203" s="38">
        <v>0</v>
      </c>
      <c r="J203" s="38">
        <v>0</v>
      </c>
      <c r="K203" s="38">
        <v>1.6613035270049224E-2</v>
      </c>
      <c r="L203" s="38">
        <v>7.0600143097547613E-2</v>
      </c>
      <c r="M203" s="38">
        <v>0.22083161673413995</v>
      </c>
      <c r="N203" s="38">
        <v>0.50581204442281513</v>
      </c>
      <c r="O203" s="38">
        <v>0.79247833705035475</v>
      </c>
      <c r="P203" s="38">
        <v>0.94496807124555227</v>
      </c>
      <c r="S203" s="28"/>
      <c r="T203" s="28"/>
      <c r="U203" s="28"/>
      <c r="V203" s="27"/>
      <c r="W203" s="27"/>
      <c r="X203" s="27"/>
      <c r="Y203" s="27"/>
      <c r="Z203" s="27"/>
    </row>
    <row r="204" spans="1:26" ht="15" customHeight="1" x14ac:dyDescent="0.2">
      <c r="A204" s="12" t="str">
        <f>$N109&amp;$Q109</f>
        <v>7Medium</v>
      </c>
      <c r="B204" s="17" t="s">
        <v>21</v>
      </c>
      <c r="C204" s="38">
        <v>0</v>
      </c>
      <c r="D204" s="38">
        <v>0</v>
      </c>
      <c r="E204" s="38">
        <v>0</v>
      </c>
      <c r="F204" s="38">
        <v>0</v>
      </c>
      <c r="G204" s="38">
        <v>0</v>
      </c>
      <c r="H204" s="38">
        <v>0</v>
      </c>
      <c r="I204" s="38">
        <v>0</v>
      </c>
      <c r="J204" s="38">
        <v>0</v>
      </c>
      <c r="K204" s="38">
        <v>1.6613035270049224E-2</v>
      </c>
      <c r="L204" s="38">
        <v>7.0600143097547613E-2</v>
      </c>
      <c r="M204" s="38">
        <v>0.22083161673413995</v>
      </c>
      <c r="N204" s="38">
        <v>0.50581204442281513</v>
      </c>
      <c r="O204" s="38">
        <v>0.79247833705035475</v>
      </c>
      <c r="P204" s="38">
        <v>0.94496807124555227</v>
      </c>
      <c r="S204" s="28"/>
      <c r="T204" s="28"/>
      <c r="U204" s="28"/>
      <c r="V204" s="27"/>
      <c r="W204" s="27"/>
      <c r="X204" s="27"/>
      <c r="Y204" s="27"/>
      <c r="Z204" s="27"/>
    </row>
    <row r="205" spans="1:26" ht="15" customHeight="1" x14ac:dyDescent="0.2">
      <c r="A205" s="12" t="str">
        <f>$N110&amp;$Q110</f>
        <v>7Medium</v>
      </c>
      <c r="B205" s="17" t="s">
        <v>20</v>
      </c>
      <c r="C205" s="38">
        <v>0</v>
      </c>
      <c r="D205" s="38">
        <v>0</v>
      </c>
      <c r="E205" s="38">
        <v>0</v>
      </c>
      <c r="F205" s="38">
        <v>0</v>
      </c>
      <c r="G205" s="38">
        <v>0</v>
      </c>
      <c r="H205" s="38">
        <v>0</v>
      </c>
      <c r="I205" s="38">
        <v>0</v>
      </c>
      <c r="J205" s="38">
        <v>0</v>
      </c>
      <c r="K205" s="38">
        <v>0</v>
      </c>
      <c r="L205" s="38">
        <v>1.6613035270049224E-2</v>
      </c>
      <c r="M205" s="38">
        <v>7.0600143097547613E-2</v>
      </c>
      <c r="N205" s="38">
        <v>0.22083161673413995</v>
      </c>
      <c r="O205" s="38">
        <v>0.50581204442281513</v>
      </c>
      <c r="P205" s="38">
        <v>0.79247833705035475</v>
      </c>
      <c r="S205" s="28"/>
      <c r="T205" s="28"/>
      <c r="U205" s="28"/>
      <c r="V205" s="27"/>
      <c r="W205" s="27"/>
      <c r="X205" s="27"/>
      <c r="Y205" s="27"/>
      <c r="Z205" s="27"/>
    </row>
    <row r="206" spans="1:26" ht="15" customHeight="1" x14ac:dyDescent="0.2">
      <c r="A206" s="12" t="str">
        <f>$N111&amp;$Q111</f>
        <v>7Medium-fast</v>
      </c>
      <c r="B206" s="40" t="s">
        <v>19</v>
      </c>
      <c r="C206" s="38">
        <v>0</v>
      </c>
      <c r="D206" s="38">
        <v>0</v>
      </c>
      <c r="E206" s="38">
        <v>0</v>
      </c>
      <c r="F206" s="38">
        <v>0</v>
      </c>
      <c r="G206" s="38">
        <v>0</v>
      </c>
      <c r="H206" s="38">
        <v>0</v>
      </c>
      <c r="I206" s="38">
        <v>0</v>
      </c>
      <c r="J206" s="38">
        <v>0</v>
      </c>
      <c r="K206" s="38">
        <v>0</v>
      </c>
      <c r="L206" s="38">
        <v>4.693318052601364E-2</v>
      </c>
      <c r="M206" s="38">
        <v>0.18128703431986021</v>
      </c>
      <c r="N206" s="38">
        <v>0.45240163696019975</v>
      </c>
      <c r="O206" s="38">
        <v>0.74896580496179133</v>
      </c>
      <c r="P206" s="38">
        <v>0.91757037452702395</v>
      </c>
      <c r="S206" s="28"/>
      <c r="T206" s="28"/>
      <c r="U206" s="28"/>
      <c r="V206" s="27"/>
      <c r="W206" s="27"/>
      <c r="X206" s="27"/>
      <c r="Y206" s="27"/>
      <c r="Z206" s="27"/>
    </row>
    <row r="207" spans="1:26" ht="15" customHeight="1" x14ac:dyDescent="0.2">
      <c r="A207" s="12" t="str">
        <f>$N112&amp;$Q112</f>
        <v>8Slow-medium</v>
      </c>
      <c r="B207" s="40" t="s">
        <v>18</v>
      </c>
      <c r="C207" s="38">
        <v>0</v>
      </c>
      <c r="D207" s="38">
        <v>0</v>
      </c>
      <c r="E207" s="38">
        <v>0</v>
      </c>
      <c r="F207" s="38">
        <v>0</v>
      </c>
      <c r="G207" s="38">
        <v>0</v>
      </c>
      <c r="H207" s="38">
        <v>0</v>
      </c>
      <c r="I207" s="38">
        <v>0</v>
      </c>
      <c r="J207" s="38">
        <v>0</v>
      </c>
      <c r="K207" s="38">
        <v>0</v>
      </c>
      <c r="L207" s="38">
        <v>0</v>
      </c>
      <c r="M207" s="38">
        <v>0</v>
      </c>
      <c r="N207" s="38">
        <v>5.3355800384007977E-3</v>
      </c>
      <c r="O207" s="38">
        <v>2.1217766553456717E-2</v>
      </c>
      <c r="P207" s="38">
        <v>6.6646388662293957E-2</v>
      </c>
      <c r="S207" s="28"/>
      <c r="T207" s="28"/>
      <c r="U207" s="28"/>
      <c r="V207" s="27"/>
      <c r="W207" s="27"/>
      <c r="X207" s="27"/>
      <c r="Y207" s="27"/>
      <c r="Z207" s="27"/>
    </row>
    <row r="208" spans="1:26" x14ac:dyDescent="0.2">
      <c r="A208" s="12" t="str">
        <f>$N113&amp;$Q113</f>
        <v>7Medium</v>
      </c>
      <c r="B208" s="39" t="s">
        <v>17</v>
      </c>
      <c r="C208" s="38">
        <v>0</v>
      </c>
      <c r="D208" s="38">
        <v>0</v>
      </c>
      <c r="E208" s="38">
        <v>0</v>
      </c>
      <c r="F208" s="38">
        <v>0</v>
      </c>
      <c r="G208" s="38">
        <v>0</v>
      </c>
      <c r="H208" s="38">
        <v>0</v>
      </c>
      <c r="I208" s="38">
        <v>0</v>
      </c>
      <c r="J208" s="38">
        <v>0</v>
      </c>
      <c r="K208" s="38">
        <v>0</v>
      </c>
      <c r="L208" s="38">
        <v>1.6613035270049224E-2</v>
      </c>
      <c r="M208" s="38">
        <v>7.0600143097547613E-2</v>
      </c>
      <c r="N208" s="38">
        <v>0.22083161673413995</v>
      </c>
      <c r="O208" s="38">
        <v>0.50581204442281513</v>
      </c>
      <c r="P208" s="38">
        <v>0.79247833705035475</v>
      </c>
      <c r="S208" s="28"/>
      <c r="T208" s="28"/>
      <c r="U208" s="28"/>
      <c r="V208" s="27"/>
      <c r="W208" s="27"/>
      <c r="X208" s="27"/>
      <c r="Y208" s="27"/>
      <c r="Z208" s="27"/>
    </row>
    <row r="209" spans="1:26" ht="15" customHeight="1" x14ac:dyDescent="0.2">
      <c r="A209" s="12" t="str">
        <f>$N114&amp;$Q114</f>
        <v>7Medium</v>
      </c>
      <c r="B209" s="39" t="s">
        <v>16</v>
      </c>
      <c r="C209" s="38">
        <v>0</v>
      </c>
      <c r="D209" s="38">
        <v>0</v>
      </c>
      <c r="E209" s="38">
        <v>0</v>
      </c>
      <c r="F209" s="38">
        <v>0</v>
      </c>
      <c r="G209" s="38">
        <v>0</v>
      </c>
      <c r="H209" s="38">
        <v>0</v>
      </c>
      <c r="I209" s="38">
        <v>0</v>
      </c>
      <c r="J209" s="38">
        <v>0</v>
      </c>
      <c r="K209" s="38">
        <v>0</v>
      </c>
      <c r="L209" s="38">
        <v>1.6613035270049224E-2</v>
      </c>
      <c r="M209" s="38">
        <v>7.0600143097547613E-2</v>
      </c>
      <c r="N209" s="38">
        <v>0.22083161673413995</v>
      </c>
      <c r="O209" s="38">
        <v>0.50581204442281513</v>
      </c>
      <c r="P209" s="38">
        <v>0.79247833705035475</v>
      </c>
      <c r="S209" s="28"/>
      <c r="T209" s="28"/>
      <c r="U209" s="28"/>
      <c r="V209" s="27"/>
      <c r="W209" s="27"/>
      <c r="X209" s="27"/>
      <c r="Y209" s="27"/>
      <c r="Z209" s="27"/>
    </row>
    <row r="210" spans="1:26" ht="15" customHeight="1" x14ac:dyDescent="0.2">
      <c r="A210" s="12" t="str">
        <f>$N115&amp;$Q115</f>
        <v>7Medium</v>
      </c>
      <c r="B210" s="17" t="s">
        <v>15</v>
      </c>
      <c r="C210" s="38">
        <v>0</v>
      </c>
      <c r="D210" s="38">
        <v>0</v>
      </c>
      <c r="E210" s="38">
        <v>0</v>
      </c>
      <c r="F210" s="38">
        <v>0</v>
      </c>
      <c r="G210" s="38">
        <v>0</v>
      </c>
      <c r="H210" s="38">
        <v>0</v>
      </c>
      <c r="I210" s="38">
        <v>0</v>
      </c>
      <c r="J210" s="38">
        <v>0</v>
      </c>
      <c r="K210" s="38">
        <v>0</v>
      </c>
      <c r="L210" s="38">
        <v>1.6613035270049224E-2</v>
      </c>
      <c r="M210" s="38">
        <v>7.0600143097547613E-2</v>
      </c>
      <c r="N210" s="38">
        <v>0.22083161673413995</v>
      </c>
      <c r="O210" s="38">
        <v>0.50581204442281513</v>
      </c>
      <c r="P210" s="38">
        <v>0.79247833705035475</v>
      </c>
      <c r="S210" s="28"/>
      <c r="T210" s="28"/>
      <c r="U210" s="28"/>
      <c r="V210" s="27"/>
      <c r="W210" s="27"/>
      <c r="X210" s="27"/>
      <c r="Y210" s="27"/>
      <c r="Z210" s="27"/>
    </row>
    <row r="211" spans="1:26" ht="15" customHeight="1" x14ac:dyDescent="0.2">
      <c r="A211" s="12" t="str">
        <f>$N116&amp;$Q116</f>
        <v>7Medium</v>
      </c>
      <c r="B211" s="39" t="s">
        <v>14</v>
      </c>
      <c r="C211" s="38">
        <v>0</v>
      </c>
      <c r="D211" s="38">
        <v>0</v>
      </c>
      <c r="E211" s="38">
        <v>0</v>
      </c>
      <c r="F211" s="38">
        <v>0</v>
      </c>
      <c r="G211" s="38">
        <v>0</v>
      </c>
      <c r="H211" s="38">
        <v>0</v>
      </c>
      <c r="I211" s="38">
        <v>0</v>
      </c>
      <c r="J211" s="38">
        <v>0</v>
      </c>
      <c r="K211" s="38">
        <v>0</v>
      </c>
      <c r="L211" s="38">
        <v>0</v>
      </c>
      <c r="M211" s="38">
        <v>0</v>
      </c>
      <c r="N211" s="38">
        <v>0</v>
      </c>
      <c r="O211" s="38">
        <v>1.6613035270049224E-2</v>
      </c>
      <c r="P211" s="38">
        <v>7.0600143097547613E-2</v>
      </c>
      <c r="S211" s="28"/>
      <c r="T211" s="28"/>
      <c r="U211" s="28"/>
      <c r="V211" s="27"/>
      <c r="W211" s="27"/>
      <c r="X211" s="27"/>
      <c r="Y211" s="27"/>
      <c r="Z211" s="27"/>
    </row>
    <row r="212" spans="1:26" ht="15" customHeight="1" x14ac:dyDescent="0.2">
      <c r="A212" s="12" t="str">
        <f>$N117&amp;$Q117</f>
        <v>8Medium</v>
      </c>
      <c r="B212" s="39" t="s">
        <v>13</v>
      </c>
      <c r="C212" s="38">
        <v>0</v>
      </c>
      <c r="D212" s="38">
        <v>0</v>
      </c>
      <c r="E212" s="38">
        <v>0</v>
      </c>
      <c r="F212" s="38">
        <v>0</v>
      </c>
      <c r="G212" s="38">
        <v>0</v>
      </c>
      <c r="H212" s="38">
        <v>0</v>
      </c>
      <c r="I212" s="38">
        <v>0</v>
      </c>
      <c r="J212" s="38">
        <v>0</v>
      </c>
      <c r="K212" s="38">
        <v>0</v>
      </c>
      <c r="L212" s="38">
        <v>1.3592550235706435E-2</v>
      </c>
      <c r="M212" s="38">
        <v>5.2749457685783215E-2</v>
      </c>
      <c r="N212" s="38">
        <v>0.15499848222790721</v>
      </c>
      <c r="O212" s="38">
        <v>0.36531715127664582</v>
      </c>
      <c r="P212" s="38">
        <v>0.64364135607197381</v>
      </c>
      <c r="S212" s="28"/>
      <c r="T212" s="28"/>
      <c r="U212" s="28"/>
      <c r="V212" s="27"/>
      <c r="W212" s="27"/>
      <c r="X212" s="27"/>
      <c r="Y212" s="27"/>
      <c r="Z212" s="27"/>
    </row>
    <row r="213" spans="1:26" ht="15" customHeight="1" x14ac:dyDescent="0.2">
      <c r="A213" s="12" t="str">
        <f>$N118&amp;$Q118</f>
        <v>6Medium-fast</v>
      </c>
      <c r="B213" s="17" t="s">
        <v>12</v>
      </c>
      <c r="C213" s="38">
        <v>0</v>
      </c>
      <c r="D213" s="38">
        <v>0</v>
      </c>
      <c r="E213" s="38">
        <v>0</v>
      </c>
      <c r="F213" s="38">
        <v>0</v>
      </c>
      <c r="G213" s="38">
        <v>0</v>
      </c>
      <c r="H213" s="38">
        <v>0</v>
      </c>
      <c r="I213" s="38">
        <v>5.9132942635381498E-2</v>
      </c>
      <c r="J213" s="38">
        <v>0.24580745457811104</v>
      </c>
      <c r="K213" s="38">
        <v>0.58984294646478741</v>
      </c>
      <c r="L213" s="38">
        <v>0.86386053582752387</v>
      </c>
      <c r="M213" s="38">
        <v>0.97050643725472696</v>
      </c>
      <c r="N213" s="38">
        <v>1</v>
      </c>
      <c r="O213" s="38">
        <v>1</v>
      </c>
      <c r="P213" s="38">
        <v>1</v>
      </c>
      <c r="S213" s="28"/>
      <c r="T213" s="28"/>
      <c r="U213" s="28"/>
      <c r="V213" s="27"/>
      <c r="W213" s="27"/>
      <c r="X213" s="27"/>
      <c r="Y213" s="27"/>
      <c r="Z213" s="27"/>
    </row>
    <row r="214" spans="1:26" ht="15" customHeight="1" x14ac:dyDescent="0.2">
      <c r="A214" s="12" t="str">
        <f>$N119&amp;$Q119</f>
        <v>8Medium-fast</v>
      </c>
      <c r="B214" s="17" t="s">
        <v>11</v>
      </c>
      <c r="C214" s="38">
        <v>0</v>
      </c>
      <c r="D214" s="38">
        <v>0</v>
      </c>
      <c r="E214" s="38">
        <v>0</v>
      </c>
      <c r="F214" s="38">
        <v>0</v>
      </c>
      <c r="G214" s="38">
        <v>0</v>
      </c>
      <c r="H214" s="38">
        <v>0</v>
      </c>
      <c r="I214" s="38">
        <v>0</v>
      </c>
      <c r="J214" s="38">
        <v>0</v>
      </c>
      <c r="K214" s="38">
        <v>0</v>
      </c>
      <c r="L214" s="38">
        <v>0</v>
      </c>
      <c r="M214" s="38">
        <v>3.8690686435318943E-2</v>
      </c>
      <c r="N214" s="38">
        <v>0.13989530418411908</v>
      </c>
      <c r="O214" s="38">
        <v>0.34885573035180484</v>
      </c>
      <c r="P214" s="38">
        <v>0.62702868733986972</v>
      </c>
      <c r="S214" s="28"/>
      <c r="T214" s="28"/>
      <c r="U214" s="28"/>
      <c r="V214" s="27"/>
      <c r="W214" s="27"/>
      <c r="X214" s="27"/>
      <c r="Y214" s="27"/>
      <c r="Z214" s="27"/>
    </row>
    <row r="215" spans="1:26" ht="15" customHeight="1" x14ac:dyDescent="0.2">
      <c r="A215" s="12" t="str">
        <f>$N120&amp;$Q120</f>
        <v>7Slow-medium</v>
      </c>
      <c r="B215" s="17" t="s">
        <v>10</v>
      </c>
      <c r="C215" s="38">
        <v>0</v>
      </c>
      <c r="D215" s="38">
        <v>0</v>
      </c>
      <c r="E215" s="38">
        <v>0</v>
      </c>
      <c r="F215" s="38">
        <v>0</v>
      </c>
      <c r="G215" s="38">
        <v>0</v>
      </c>
      <c r="H215" s="38">
        <v>0</v>
      </c>
      <c r="I215" s="38">
        <v>0</v>
      </c>
      <c r="J215" s="38">
        <v>0</v>
      </c>
      <c r="K215" s="38">
        <v>0</v>
      </c>
      <c r="L215" s="38">
        <v>0</v>
      </c>
      <c r="M215" s="38">
        <v>0</v>
      </c>
      <c r="N215" s="38">
        <v>6.5642509771338302E-3</v>
      </c>
      <c r="O215" s="38">
        <v>2.8854150449830487E-2</v>
      </c>
      <c r="P215" s="38">
        <v>9.9791570838154611E-2</v>
      </c>
      <c r="S215" s="28"/>
      <c r="T215" s="28"/>
      <c r="U215" s="28"/>
      <c r="V215" s="27"/>
      <c r="W215" s="27"/>
      <c r="X215" s="27"/>
      <c r="Y215" s="27"/>
      <c r="Z215" s="27"/>
    </row>
    <row r="216" spans="1:26" ht="15" customHeight="1" x14ac:dyDescent="0.2">
      <c r="A216" s="12"/>
      <c r="C216" s="30"/>
      <c r="D216" s="29"/>
      <c r="E216" s="29"/>
      <c r="F216" s="28"/>
      <c r="G216" s="28"/>
      <c r="H216" s="28"/>
      <c r="I216" s="28"/>
      <c r="J216" s="28"/>
      <c r="K216" s="28"/>
      <c r="L216" s="28"/>
      <c r="M216" s="28"/>
      <c r="N216" s="28"/>
      <c r="O216" s="28"/>
      <c r="P216" s="28"/>
      <c r="S216" s="28"/>
      <c r="T216" s="28"/>
      <c r="U216" s="28"/>
      <c r="V216" s="27"/>
      <c r="W216" s="27"/>
      <c r="X216" s="27"/>
      <c r="Y216" s="27"/>
      <c r="Z216" s="27"/>
    </row>
    <row r="217" spans="1:26" ht="15" customHeight="1" x14ac:dyDescent="0.2">
      <c r="A217" s="12"/>
      <c r="B217" s="41" t="s">
        <v>41</v>
      </c>
      <c r="C217" s="41">
        <v>2017</v>
      </c>
      <c r="D217" s="41">
        <f>C217+1</f>
        <v>2018</v>
      </c>
      <c r="E217" s="41">
        <f>D217+1</f>
        <v>2019</v>
      </c>
      <c r="F217" s="41">
        <f>E217+1</f>
        <v>2020</v>
      </c>
      <c r="G217" s="41">
        <f>F217+1</f>
        <v>2021</v>
      </c>
      <c r="H217" s="41">
        <f>G217+1</f>
        <v>2022</v>
      </c>
      <c r="I217" s="41">
        <f>H217+1</f>
        <v>2023</v>
      </c>
      <c r="J217" s="41">
        <f>I217+1</f>
        <v>2024</v>
      </c>
      <c r="K217" s="41">
        <f>J217+1</f>
        <v>2025</v>
      </c>
      <c r="L217" s="41">
        <f>K217+1</f>
        <v>2026</v>
      </c>
      <c r="M217" s="41">
        <f>L217+1</f>
        <v>2027</v>
      </c>
      <c r="N217" s="41">
        <f>M217+1</f>
        <v>2028</v>
      </c>
      <c r="O217" s="41">
        <f>N217+1</f>
        <v>2029</v>
      </c>
      <c r="P217" s="41">
        <f>O217+1</f>
        <v>2030</v>
      </c>
      <c r="S217" s="28"/>
      <c r="T217" s="28"/>
      <c r="U217" s="28"/>
      <c r="V217" s="27"/>
      <c r="W217" s="27"/>
      <c r="X217" s="27"/>
      <c r="Y217" s="27"/>
      <c r="Z217" s="27"/>
    </row>
    <row r="218" spans="1:26" ht="15" customHeight="1" x14ac:dyDescent="0.2">
      <c r="A218" s="12" t="str">
        <f>$B$217&amp;B218</f>
        <v>Emerging Drug Uptake:JapanRegorafenib</v>
      </c>
      <c r="B218" s="17" t="s">
        <v>27</v>
      </c>
      <c r="C218" s="38">
        <f>C199*$P104</f>
        <v>0</v>
      </c>
      <c r="D218" s="38">
        <f>D199*$P104</f>
        <v>0</v>
      </c>
      <c r="E218" s="38">
        <f>E199*$P104</f>
        <v>0</v>
      </c>
      <c r="F218" s="38">
        <f>F199*$P104</f>
        <v>0</v>
      </c>
      <c r="G218" s="38">
        <f>G199*$P104</f>
        <v>0</v>
      </c>
      <c r="H218" s="38">
        <f>H199*$P104</f>
        <v>0</v>
      </c>
      <c r="I218" s="38">
        <f>I199*$P104</f>
        <v>0</v>
      </c>
      <c r="J218" s="38">
        <f>J199*$P104</f>
        <v>0</v>
      </c>
      <c r="K218" s="38">
        <f>K199*$P104</f>
        <v>0</v>
      </c>
      <c r="L218" s="38">
        <f>L199*$P104</f>
        <v>1.7992695096363247E-3</v>
      </c>
      <c r="M218" s="38">
        <f>M199*$P104</f>
        <v>8.5711304102335621E-3</v>
      </c>
      <c r="N218" s="38">
        <f>N199*$P104</f>
        <v>2.8137261628149619E-2</v>
      </c>
      <c r="O218" s="38">
        <f>O199*$P104</f>
        <v>5.8298741566952847E-2</v>
      </c>
      <c r="P218" s="38">
        <f>P199*$P104</f>
        <v>7.810200102732387E-2</v>
      </c>
      <c r="S218" s="28"/>
      <c r="T218" s="28"/>
      <c r="U218" s="28"/>
      <c r="V218" s="27"/>
      <c r="W218" s="27"/>
      <c r="X218" s="27"/>
      <c r="Y218" s="27"/>
      <c r="Z218" s="27"/>
    </row>
    <row r="219" spans="1:26" ht="15" customHeight="1" x14ac:dyDescent="0.2">
      <c r="A219" s="12" t="str">
        <f>$B$217&amp;B219</f>
        <v>Emerging Drug Uptake:JapanTrans Sodium Crocetinate </v>
      </c>
      <c r="B219" s="39" t="s">
        <v>25</v>
      </c>
      <c r="C219" s="38">
        <f>C200*$P105</f>
        <v>0</v>
      </c>
      <c r="D219" s="38">
        <f>D200*$P105</f>
        <v>0</v>
      </c>
      <c r="E219" s="38">
        <f>E200*$P105</f>
        <v>0</v>
      </c>
      <c r="F219" s="38">
        <f>F200*$P105</f>
        <v>0</v>
      </c>
      <c r="G219" s="38">
        <f>G200*$P105</f>
        <v>0</v>
      </c>
      <c r="H219" s="38">
        <f>H200*$P105</f>
        <v>0</v>
      </c>
      <c r="I219" s="38">
        <f>I200*$P105</f>
        <v>0</v>
      </c>
      <c r="J219" s="38">
        <f>J200*$P105</f>
        <v>1.7040140650085192E-3</v>
      </c>
      <c r="K219" s="38">
        <f>K200*$P105</f>
        <v>8.1173646826329625E-3</v>
      </c>
      <c r="L219" s="38">
        <f>L200*$P105</f>
        <v>2.6647641894894641E-2</v>
      </c>
      <c r="M219" s="38">
        <f>M200*$P105</f>
        <v>5.5212337601643575E-2</v>
      </c>
      <c r="N219" s="38">
        <f>N200*$P105</f>
        <v>7.3967189208230255E-2</v>
      </c>
      <c r="O219" s="38">
        <f>O200*$P105</f>
        <v>8.0500000000000002E-2</v>
      </c>
      <c r="P219" s="38">
        <f>P200*$P105</f>
        <v>8.0500000000000002E-2</v>
      </c>
      <c r="S219" s="28"/>
      <c r="T219" s="28"/>
      <c r="U219" s="28"/>
      <c r="V219" s="27"/>
      <c r="W219" s="27"/>
      <c r="X219" s="27"/>
      <c r="Y219" s="27"/>
      <c r="Z219" s="27"/>
    </row>
    <row r="220" spans="1:26" ht="15" customHeight="1" x14ac:dyDescent="0.2">
      <c r="A220" s="12" t="str">
        <f>$B$217&amp;B220</f>
        <v>Emerging Drug Uptake:JapanOfranergene obadenovec (VB-111)</v>
      </c>
      <c r="B220" s="40" t="s">
        <v>24</v>
      </c>
      <c r="C220" s="38">
        <f>C201*$P106</f>
        <v>0</v>
      </c>
      <c r="D220" s="38">
        <f>D201*$P106</f>
        <v>0</v>
      </c>
      <c r="E220" s="38">
        <f>E201*$P106</f>
        <v>0</v>
      </c>
      <c r="F220" s="38">
        <f>F201*$P106</f>
        <v>0</v>
      </c>
      <c r="G220" s="38">
        <f>G201*$P106</f>
        <v>0</v>
      </c>
      <c r="H220" s="38">
        <f>H201*$P106</f>
        <v>0</v>
      </c>
      <c r="I220" s="38">
        <f>I201*$P106</f>
        <v>0</v>
      </c>
      <c r="J220" s="38">
        <f>J201*$P106</f>
        <v>0</v>
      </c>
      <c r="K220" s="38">
        <f>K201*$P106</f>
        <v>6.0315601488089123E-3</v>
      </c>
      <c r="L220" s="38">
        <f>L201*$P106</f>
        <v>2.5072360366967323E-2</v>
      </c>
      <c r="M220" s="38">
        <f>M201*$P106</f>
        <v>6.0163980539408309E-2</v>
      </c>
      <c r="N220" s="38">
        <f>N201*$P106</f>
        <v>8.8113774654407423E-2</v>
      </c>
      <c r="O220" s="38">
        <f>O201*$P106</f>
        <v>9.8991656599982145E-2</v>
      </c>
      <c r="P220" s="38">
        <f>P201*$P106</f>
        <v>0.10199999999999999</v>
      </c>
      <c r="S220" s="28"/>
      <c r="T220" s="28"/>
      <c r="U220" s="28"/>
      <c r="V220" s="27"/>
      <c r="W220" s="27"/>
      <c r="X220" s="27"/>
      <c r="Y220" s="27"/>
      <c r="Z220" s="27"/>
    </row>
    <row r="221" spans="1:26" ht="15" customHeight="1" x14ac:dyDescent="0.2">
      <c r="A221" s="12" t="str">
        <f>$B$217&amp;B221</f>
        <v>Emerging Drug Uptake:JapanDurvalumab</v>
      </c>
      <c r="B221" s="17" t="s">
        <v>23</v>
      </c>
      <c r="C221" s="38">
        <f>C202*$P107</f>
        <v>0</v>
      </c>
      <c r="D221" s="38">
        <f>D202*$P107</f>
        <v>0</v>
      </c>
      <c r="E221" s="38">
        <f>E202*$P107</f>
        <v>0</v>
      </c>
      <c r="F221" s="38">
        <f>F202*$P107</f>
        <v>0</v>
      </c>
      <c r="G221" s="38">
        <f>G202*$P107</f>
        <v>0</v>
      </c>
      <c r="H221" s="38">
        <f>H202*$P107</f>
        <v>0</v>
      </c>
      <c r="I221" s="38">
        <f>I202*$P107</f>
        <v>0</v>
      </c>
      <c r="J221" s="38">
        <f>J202*$P107</f>
        <v>0</v>
      </c>
      <c r="K221" s="38">
        <f>K202*$P107</f>
        <v>2.8159908315608185E-3</v>
      </c>
      <c r="L221" s="38">
        <f>L202*$P107</f>
        <v>1.0877222059191612E-2</v>
      </c>
      <c r="M221" s="38">
        <f>M202*$P107</f>
        <v>2.7144098217611982E-2</v>
      </c>
      <c r="N221" s="38">
        <f>N202*$P107</f>
        <v>4.4937948297707475E-2</v>
      </c>
      <c r="O221" s="38">
        <f>O202*$P107</f>
        <v>5.5054222471621436E-2</v>
      </c>
      <c r="P221" s="38">
        <f>P202*$P107</f>
        <v>5.8824762380385136E-2</v>
      </c>
      <c r="S221" s="28"/>
      <c r="T221" s="28"/>
      <c r="U221" s="28"/>
      <c r="V221" s="27"/>
      <c r="W221" s="27"/>
      <c r="X221" s="27"/>
      <c r="Y221" s="27"/>
      <c r="Z221" s="27"/>
    </row>
    <row r="222" spans="1:26" ht="15" customHeight="1" x14ac:dyDescent="0.2">
      <c r="A222" s="12" t="str">
        <f>$B$217&amp;B222</f>
        <v>Emerging Drug Uptake:JapanTasadenoturev (DNX-2401) + Pembrolizumab</v>
      </c>
      <c r="B222" s="40" t="s">
        <v>22</v>
      </c>
      <c r="C222" s="38">
        <f>C203*$P108</f>
        <v>0</v>
      </c>
      <c r="D222" s="38">
        <f>D203*$P108</f>
        <v>0</v>
      </c>
      <c r="E222" s="38">
        <f>E203*$P108</f>
        <v>0</v>
      </c>
      <c r="F222" s="38">
        <f>F203*$P108</f>
        <v>0</v>
      </c>
      <c r="G222" s="38">
        <f>G203*$P108</f>
        <v>0</v>
      </c>
      <c r="H222" s="38">
        <f>H203*$P108</f>
        <v>0</v>
      </c>
      <c r="I222" s="38">
        <f>I203*$P108</f>
        <v>0</v>
      </c>
      <c r="J222" s="38">
        <f>J203*$P108</f>
        <v>0</v>
      </c>
      <c r="K222" s="38">
        <f>K203*$P108</f>
        <v>9.9678211620295339E-4</v>
      </c>
      <c r="L222" s="38">
        <f>L203*$P108</f>
        <v>4.236008585852857E-3</v>
      </c>
      <c r="M222" s="38">
        <f>M203*$P108</f>
        <v>1.3249897004048397E-2</v>
      </c>
      <c r="N222" s="38">
        <f>N203*$P108</f>
        <v>3.0348722665368907E-2</v>
      </c>
      <c r="O222" s="38">
        <f>O203*$P108</f>
        <v>4.7548700223021281E-2</v>
      </c>
      <c r="P222" s="38">
        <f>P203*$P108</f>
        <v>5.6698084274733135E-2</v>
      </c>
      <c r="S222" s="28"/>
      <c r="T222" s="28"/>
      <c r="U222" s="28"/>
      <c r="V222" s="27"/>
      <c r="W222" s="27"/>
      <c r="X222" s="27"/>
      <c r="Y222" s="27"/>
      <c r="Z222" s="27"/>
    </row>
    <row r="223" spans="1:26" ht="15" customHeight="1" x14ac:dyDescent="0.2">
      <c r="A223" s="12" t="str">
        <f>$B$217&amp;B223</f>
        <v>Emerging Drug Uptake:JapanVAL-083 (Dianhydrogalactitol)</v>
      </c>
      <c r="B223" s="17" t="s">
        <v>21</v>
      </c>
      <c r="C223" s="38">
        <f>C204*$P109</f>
        <v>0</v>
      </c>
      <c r="D223" s="38">
        <f>D204*$P109</f>
        <v>0</v>
      </c>
      <c r="E223" s="38">
        <f>E204*$P109</f>
        <v>0</v>
      </c>
      <c r="F223" s="38">
        <f>F204*$P109</f>
        <v>0</v>
      </c>
      <c r="G223" s="38">
        <f>G204*$P109</f>
        <v>0</v>
      </c>
      <c r="H223" s="38">
        <f>H204*$P109</f>
        <v>0</v>
      </c>
      <c r="I223" s="38">
        <f>I204*$P109</f>
        <v>0</v>
      </c>
      <c r="J223" s="38">
        <f>J204*$P109</f>
        <v>0</v>
      </c>
      <c r="K223" s="38">
        <f>K204*$P109</f>
        <v>8.9710390458265813E-4</v>
      </c>
      <c r="L223" s="38">
        <f>L204*$P109</f>
        <v>3.8124077272675711E-3</v>
      </c>
      <c r="M223" s="38">
        <f>M204*$P109</f>
        <v>1.1924907303643557E-2</v>
      </c>
      <c r="N223" s="38">
        <f>N204*$P109</f>
        <v>2.7313850398832017E-2</v>
      </c>
      <c r="O223" s="38">
        <f>O204*$P109</f>
        <v>4.2793830200719155E-2</v>
      </c>
      <c r="P223" s="38">
        <f>P204*$P109</f>
        <v>5.1028275847259823E-2</v>
      </c>
      <c r="S223" s="28"/>
      <c r="T223" s="28"/>
      <c r="U223" s="28"/>
      <c r="V223" s="27"/>
      <c r="W223" s="27"/>
      <c r="X223" s="27"/>
      <c r="Y223" s="27"/>
      <c r="Z223" s="27"/>
    </row>
    <row r="224" spans="1:26" ht="15" customHeight="1" x14ac:dyDescent="0.2">
      <c r="A224" s="12" t="str">
        <f>$B$217&amp;B224</f>
        <v>Emerging Drug Uptake:JapanONC201</v>
      </c>
      <c r="B224" s="17" t="s">
        <v>20</v>
      </c>
      <c r="C224" s="38">
        <f>C205*$P110</f>
        <v>0</v>
      </c>
      <c r="D224" s="38">
        <f>D205*$P110</f>
        <v>0</v>
      </c>
      <c r="E224" s="38">
        <f>E205*$P110</f>
        <v>0</v>
      </c>
      <c r="F224" s="38">
        <f>F205*$P110</f>
        <v>0</v>
      </c>
      <c r="G224" s="38">
        <f>G205*$P110</f>
        <v>0</v>
      </c>
      <c r="H224" s="38">
        <f>H205*$P110</f>
        <v>0</v>
      </c>
      <c r="I224" s="38">
        <f>I205*$P110</f>
        <v>0</v>
      </c>
      <c r="J224" s="38">
        <f>J205*$P110</f>
        <v>0</v>
      </c>
      <c r="K224" s="38">
        <f>K205*$P110</f>
        <v>0</v>
      </c>
      <c r="L224" s="38">
        <f>L205*$P110</f>
        <v>8.4726479877251051E-4</v>
      </c>
      <c r="M224" s="38">
        <f>M205*$P110</f>
        <v>3.6006072979749286E-3</v>
      </c>
      <c r="N224" s="38">
        <f>N205*$P110</f>
        <v>1.1262412453441138E-2</v>
      </c>
      <c r="O224" s="38">
        <f>O205*$P110</f>
        <v>2.5796414265563575E-2</v>
      </c>
      <c r="P224" s="38">
        <f>P205*$P110</f>
        <v>4.0416395189568098E-2</v>
      </c>
      <c r="S224" s="28"/>
      <c r="T224" s="28"/>
      <c r="U224" s="28"/>
      <c r="V224" s="27"/>
      <c r="W224" s="27"/>
      <c r="X224" s="27"/>
      <c r="Y224" s="27"/>
      <c r="Z224" s="27"/>
    </row>
    <row r="225" spans="1:26" ht="15" customHeight="1" x14ac:dyDescent="0.2">
      <c r="A225" s="12" t="str">
        <f>$B$217&amp;B225</f>
        <v>Emerging Drug Uptake:JapanSelinexor (KPT-330)</v>
      </c>
      <c r="B225" s="40" t="s">
        <v>19</v>
      </c>
      <c r="C225" s="38">
        <f>C206*$P111</f>
        <v>0</v>
      </c>
      <c r="D225" s="38">
        <f>D206*$P111</f>
        <v>0</v>
      </c>
      <c r="E225" s="38">
        <f>E206*$P111</f>
        <v>0</v>
      </c>
      <c r="F225" s="38">
        <f>F206*$P111</f>
        <v>0</v>
      </c>
      <c r="G225" s="38">
        <f>G206*$P111</f>
        <v>0</v>
      </c>
      <c r="H225" s="38">
        <f>H206*$P111</f>
        <v>0</v>
      </c>
      <c r="I225" s="38">
        <f>I206*$P111</f>
        <v>0</v>
      </c>
      <c r="J225" s="38">
        <f>J206*$P111</f>
        <v>0</v>
      </c>
      <c r="K225" s="38">
        <f>K206*$P111</f>
        <v>0</v>
      </c>
      <c r="L225" s="38">
        <f>L206*$P111</f>
        <v>3.2383894562949414E-3</v>
      </c>
      <c r="M225" s="38">
        <f>M206*$P111</f>
        <v>1.2508805368070355E-2</v>
      </c>
      <c r="N225" s="38">
        <f>N206*$P111</f>
        <v>3.1215712950253785E-2</v>
      </c>
      <c r="O225" s="38">
        <f>O206*$P111</f>
        <v>5.1678640542363603E-2</v>
      </c>
      <c r="P225" s="38">
        <f>P206*$P111</f>
        <v>6.3312355842364651E-2</v>
      </c>
      <c r="S225" s="28"/>
      <c r="T225" s="28"/>
      <c r="U225" s="28"/>
      <c r="V225" s="27"/>
      <c r="W225" s="27"/>
      <c r="X225" s="27"/>
      <c r="Y225" s="27"/>
      <c r="Z225" s="27"/>
    </row>
    <row r="226" spans="1:26" ht="15" customHeight="1" x14ac:dyDescent="0.2">
      <c r="A226" s="12" t="str">
        <f>$B$217&amp;B226</f>
        <v>Emerging Drug Uptake:JapanVBI-1901</v>
      </c>
      <c r="B226" s="40" t="s">
        <v>18</v>
      </c>
      <c r="C226" s="38">
        <f>C207*$P112</f>
        <v>0</v>
      </c>
      <c r="D226" s="38">
        <f>D207*$P112</f>
        <v>0</v>
      </c>
      <c r="E226" s="38">
        <f>E207*$P112</f>
        <v>0</v>
      </c>
      <c r="F226" s="38">
        <f>F207*$P112</f>
        <v>0</v>
      </c>
      <c r="G226" s="38">
        <f>G207*$P112</f>
        <v>0</v>
      </c>
      <c r="H226" s="38">
        <f>H207*$P112</f>
        <v>0</v>
      </c>
      <c r="I226" s="38">
        <f>I207*$P112</f>
        <v>0</v>
      </c>
      <c r="J226" s="38">
        <f>J207*$P112</f>
        <v>0</v>
      </c>
      <c r="K226" s="38">
        <f>K207*$P112</f>
        <v>0</v>
      </c>
      <c r="L226" s="38">
        <f>L207*$P112</f>
        <v>0</v>
      </c>
      <c r="M226" s="38">
        <f>M207*$P112</f>
        <v>0</v>
      </c>
      <c r="N226" s="38">
        <f>N207*$P112</f>
        <v>1.0404381074881556E-4</v>
      </c>
      <c r="O226" s="38">
        <f>O207*$P112</f>
        <v>4.1374644779240596E-4</v>
      </c>
      <c r="P226" s="38">
        <f>P207*$P112</f>
        <v>1.2996045789147321E-3</v>
      </c>
      <c r="S226" s="28"/>
      <c r="T226" s="28"/>
      <c r="U226" s="28"/>
      <c r="V226" s="27"/>
      <c r="W226" s="27"/>
      <c r="X226" s="27"/>
      <c r="Y226" s="27"/>
      <c r="Z226" s="27"/>
    </row>
    <row r="227" spans="1:26" x14ac:dyDescent="0.2">
      <c r="A227" s="12" t="str">
        <f>$B$217&amp;B227</f>
        <v>Emerging Drug Uptake:JapanPaxalisib (GDC-0084)</v>
      </c>
      <c r="B227" s="39" t="s">
        <v>17</v>
      </c>
      <c r="C227" s="38">
        <f>C208*$P113</f>
        <v>0</v>
      </c>
      <c r="D227" s="38">
        <f>D208*$P113</f>
        <v>0</v>
      </c>
      <c r="E227" s="38">
        <f>E208*$P113</f>
        <v>0</v>
      </c>
      <c r="F227" s="38">
        <f>F208*$P113</f>
        <v>0</v>
      </c>
      <c r="G227" s="38">
        <f>G208*$P113</f>
        <v>0</v>
      </c>
      <c r="H227" s="38">
        <f>H208*$P113</f>
        <v>0</v>
      </c>
      <c r="I227" s="38">
        <f>I208*$P113</f>
        <v>0</v>
      </c>
      <c r="J227" s="38">
        <f>J208*$P113</f>
        <v>0</v>
      </c>
      <c r="K227" s="38">
        <f>K208*$P113</f>
        <v>0</v>
      </c>
      <c r="L227" s="38">
        <f>L208*$P113</f>
        <v>7.4758658715221504E-4</v>
      </c>
      <c r="M227" s="38">
        <f>M208*$P113</f>
        <v>3.1770064393896423E-3</v>
      </c>
      <c r="N227" s="38">
        <f>N208*$P113</f>
        <v>9.9374227530362978E-3</v>
      </c>
      <c r="O227" s="38">
        <f>O208*$P113</f>
        <v>2.2761541999026681E-2</v>
      </c>
      <c r="P227" s="38">
        <f>P208*$P113</f>
        <v>3.5661525167265964E-2</v>
      </c>
      <c r="S227" s="28"/>
      <c r="T227" s="28"/>
      <c r="U227" s="28"/>
      <c r="V227" s="27"/>
      <c r="W227" s="27"/>
      <c r="X227" s="27"/>
      <c r="Y227" s="27"/>
      <c r="Z227" s="27"/>
    </row>
    <row r="228" spans="1:26" ht="15" customHeight="1" x14ac:dyDescent="0.2">
      <c r="A228" s="12" t="str">
        <f>$B$217&amp;B228</f>
        <v>Emerging Drug Uptake:JapanAV-GBM-1</v>
      </c>
      <c r="B228" s="39" t="s">
        <v>16</v>
      </c>
      <c r="C228" s="38">
        <f>C209*$P114</f>
        <v>0</v>
      </c>
      <c r="D228" s="38">
        <f>D209*$P114</f>
        <v>0</v>
      </c>
      <c r="E228" s="38">
        <f>E209*$P114</f>
        <v>0</v>
      </c>
      <c r="F228" s="38">
        <f>F209*$P114</f>
        <v>0</v>
      </c>
      <c r="G228" s="38">
        <f>G209*$P114</f>
        <v>0</v>
      </c>
      <c r="H228" s="38">
        <f>H209*$P114</f>
        <v>0</v>
      </c>
      <c r="I228" s="38">
        <f>I209*$P114</f>
        <v>0</v>
      </c>
      <c r="J228" s="38">
        <f>J209*$P114</f>
        <v>0</v>
      </c>
      <c r="K228" s="38">
        <f>K209*$P114</f>
        <v>0</v>
      </c>
      <c r="L228" s="38">
        <f>L209*$P114</f>
        <v>7.4758658715221504E-4</v>
      </c>
      <c r="M228" s="38">
        <f>M209*$P114</f>
        <v>3.1770064393896423E-3</v>
      </c>
      <c r="N228" s="38">
        <f>N209*$P114</f>
        <v>9.9374227530362978E-3</v>
      </c>
      <c r="O228" s="38">
        <f>O209*$P114</f>
        <v>2.2761541999026681E-2</v>
      </c>
      <c r="P228" s="38">
        <f>P209*$P114</f>
        <v>3.5661525167265964E-2</v>
      </c>
      <c r="S228" s="28"/>
      <c r="T228" s="28"/>
      <c r="U228" s="28"/>
      <c r="V228" s="27"/>
      <c r="W228" s="27"/>
      <c r="X228" s="27"/>
      <c r="Y228" s="27"/>
      <c r="Z228" s="27"/>
    </row>
    <row r="229" spans="1:26" ht="15" customHeight="1" x14ac:dyDescent="0.2">
      <c r="A229" s="12" t="str">
        <f>$B$217&amp;B229</f>
        <v xml:space="preserve">Emerging Drug Uptake:JapanMDNA55 </v>
      </c>
      <c r="B229" s="17" t="s">
        <v>15</v>
      </c>
      <c r="C229" s="38">
        <f>C210*$P115</f>
        <v>0</v>
      </c>
      <c r="D229" s="38">
        <f>D210*$P115</f>
        <v>0</v>
      </c>
      <c r="E229" s="38">
        <f>E210*$P115</f>
        <v>0</v>
      </c>
      <c r="F229" s="38">
        <f>F210*$P115</f>
        <v>0</v>
      </c>
      <c r="G229" s="38">
        <f>G210*$P115</f>
        <v>0</v>
      </c>
      <c r="H229" s="38">
        <f>H210*$P115</f>
        <v>0</v>
      </c>
      <c r="I229" s="38">
        <f>I210*$P115</f>
        <v>0</v>
      </c>
      <c r="J229" s="38">
        <f>J210*$P115</f>
        <v>0</v>
      </c>
      <c r="K229" s="38">
        <f>K210*$P115</f>
        <v>0</v>
      </c>
      <c r="L229" s="38">
        <f>L210*$P115</f>
        <v>9.4694301039280565E-4</v>
      </c>
      <c r="M229" s="38">
        <f>M210*$P115</f>
        <v>4.0242081565602132E-3</v>
      </c>
      <c r="N229" s="38">
        <f>N210*$P115</f>
        <v>1.2587402153845977E-2</v>
      </c>
      <c r="O229" s="38">
        <f>O210*$P115</f>
        <v>2.8831286532100459E-2</v>
      </c>
      <c r="P229" s="38">
        <f>P210*$P115</f>
        <v>4.5171265211870218E-2</v>
      </c>
      <c r="S229" s="28"/>
      <c r="T229" s="28"/>
      <c r="U229" s="28"/>
      <c r="V229" s="27"/>
      <c r="W229" s="27"/>
      <c r="X229" s="27"/>
      <c r="Y229" s="27"/>
      <c r="Z229" s="27"/>
    </row>
    <row r="230" spans="1:26" ht="15" customHeight="1" x14ac:dyDescent="0.2">
      <c r="A230" s="12" t="str">
        <f>$B$217&amp;B230</f>
        <v>Emerging Drug Uptake:Japanpp65-shLAMP DC with GM-CSF (ITI-1000)</v>
      </c>
      <c r="B230" s="39" t="s">
        <v>14</v>
      </c>
      <c r="C230" s="38">
        <f>C211*$P116</f>
        <v>0</v>
      </c>
      <c r="D230" s="38">
        <f>D211*$P116</f>
        <v>0</v>
      </c>
      <c r="E230" s="38">
        <f>E211*$P116</f>
        <v>0</v>
      </c>
      <c r="F230" s="38">
        <f>F211*$P116</f>
        <v>0</v>
      </c>
      <c r="G230" s="38">
        <f>G211*$P116</f>
        <v>0</v>
      </c>
      <c r="H230" s="38">
        <f>H211*$P116</f>
        <v>0</v>
      </c>
      <c r="I230" s="38">
        <f>I211*$P116</f>
        <v>0</v>
      </c>
      <c r="J230" s="38">
        <f>J211*$P116</f>
        <v>0</v>
      </c>
      <c r="K230" s="38">
        <f>K211*$P116</f>
        <v>0</v>
      </c>
      <c r="L230" s="38">
        <f>L211*$P116</f>
        <v>0</v>
      </c>
      <c r="M230" s="38">
        <f>M211*$P116</f>
        <v>0</v>
      </c>
      <c r="N230" s="38">
        <f>N211*$P116</f>
        <v>0</v>
      </c>
      <c r="O230" s="38">
        <f>O211*$P116</f>
        <v>6.4790837553191979E-4</v>
      </c>
      <c r="P230" s="38">
        <f>P211*$P116</f>
        <v>2.7534055808043569E-3</v>
      </c>
      <c r="S230" s="28"/>
      <c r="T230" s="28"/>
      <c r="U230" s="28"/>
      <c r="V230" s="27"/>
      <c r="W230" s="27"/>
      <c r="X230" s="27"/>
      <c r="Y230" s="27"/>
      <c r="Z230" s="27"/>
    </row>
    <row r="231" spans="1:26" ht="15" customHeight="1" x14ac:dyDescent="0.2">
      <c r="A231" s="12" t="str">
        <f>$B$217&amp;B231</f>
        <v>Emerging Drug Uptake:JapanINO-5401+ INO-9012+Cemiplimab (REGN2810)</v>
      </c>
      <c r="B231" s="39" t="s">
        <v>13</v>
      </c>
      <c r="C231" s="38">
        <f>C212*$P117</f>
        <v>0</v>
      </c>
      <c r="D231" s="38">
        <f>D212*$P117</f>
        <v>0</v>
      </c>
      <c r="E231" s="38">
        <f>E212*$P117</f>
        <v>0</v>
      </c>
      <c r="F231" s="38">
        <f>F212*$P117</f>
        <v>0</v>
      </c>
      <c r="G231" s="38">
        <f>G212*$P117</f>
        <v>0</v>
      </c>
      <c r="H231" s="38">
        <f>H212*$P117</f>
        <v>0</v>
      </c>
      <c r="I231" s="38">
        <f>I212*$P117</f>
        <v>0</v>
      </c>
      <c r="J231" s="38">
        <f>J212*$P117</f>
        <v>0</v>
      </c>
      <c r="K231" s="38">
        <f>K212*$P117</f>
        <v>0</v>
      </c>
      <c r="L231" s="38">
        <f>L212*$P117</f>
        <v>4.6214670801401886E-4</v>
      </c>
      <c r="M231" s="38">
        <f>M212*$P117</f>
        <v>1.7934815613166294E-3</v>
      </c>
      <c r="N231" s="38">
        <f>N212*$P117</f>
        <v>5.269948395748846E-3</v>
      </c>
      <c r="O231" s="38">
        <f>O212*$P117</f>
        <v>1.2420783143405958E-2</v>
      </c>
      <c r="P231" s="38">
        <f>P212*$P117</f>
        <v>2.188380610644711E-2</v>
      </c>
      <c r="S231" s="28"/>
      <c r="T231" s="28"/>
      <c r="U231" s="28"/>
      <c r="V231" s="27"/>
      <c r="W231" s="27"/>
      <c r="X231" s="27"/>
      <c r="Y231" s="27"/>
      <c r="Z231" s="27"/>
    </row>
    <row r="232" spans="1:26" ht="15" customHeight="1" x14ac:dyDescent="0.2">
      <c r="A232" s="12" t="str">
        <f>$B$217&amp;B232</f>
        <v>Emerging Drug Uptake:JapanEflornithine + Lomustine</v>
      </c>
      <c r="B232" s="17" t="s">
        <v>12</v>
      </c>
      <c r="C232" s="38">
        <f>C213*$P118</f>
        <v>0</v>
      </c>
      <c r="D232" s="38">
        <f>D213*$P118</f>
        <v>0</v>
      </c>
      <c r="E232" s="38">
        <f>E213*$P118</f>
        <v>0</v>
      </c>
      <c r="F232" s="38">
        <f>F213*$P118</f>
        <v>0</v>
      </c>
      <c r="G232" s="38">
        <f>G213*$P118</f>
        <v>0</v>
      </c>
      <c r="H232" s="38">
        <f>H213*$P118</f>
        <v>0</v>
      </c>
      <c r="I232" s="38">
        <f>I213*$P118</f>
        <v>5.3219648371843351E-3</v>
      </c>
      <c r="J232" s="38">
        <f>J213*$P118</f>
        <v>2.2122670912029997E-2</v>
      </c>
      <c r="K232" s="38">
        <f>K213*$P118</f>
        <v>5.3085865181830873E-2</v>
      </c>
      <c r="L232" s="38">
        <f>L213*$P118</f>
        <v>7.7747448224477156E-2</v>
      </c>
      <c r="M232" s="38">
        <f>M213*$P118</f>
        <v>8.7345579352925432E-2</v>
      </c>
      <c r="N232" s="38">
        <f>N213*$P118</f>
        <v>9.0000000000000011E-2</v>
      </c>
      <c r="O232" s="38">
        <f>O213*$P118</f>
        <v>9.0000000000000011E-2</v>
      </c>
      <c r="P232" s="38">
        <f>P213*$P118</f>
        <v>9.0000000000000011E-2</v>
      </c>
      <c r="S232" s="28"/>
      <c r="T232" s="28"/>
      <c r="U232" s="28"/>
      <c r="V232" s="27"/>
      <c r="W232" s="27"/>
      <c r="X232" s="27"/>
      <c r="Y232" s="27"/>
      <c r="Z232" s="27"/>
    </row>
    <row r="233" spans="1:26" ht="15" customHeight="1" x14ac:dyDescent="0.2">
      <c r="A233" s="12" t="str">
        <f>$B$217&amp;B233</f>
        <v>Emerging Drug Uptake:JapanEverolimus (RAD001)</v>
      </c>
      <c r="B233" s="17" t="s">
        <v>11</v>
      </c>
      <c r="C233" s="38">
        <f>C214*$P119</f>
        <v>0</v>
      </c>
      <c r="D233" s="38">
        <f>D214*$P119</f>
        <v>0</v>
      </c>
      <c r="E233" s="38">
        <f>E214*$P119</f>
        <v>0</v>
      </c>
      <c r="F233" s="38">
        <f>F214*$P119</f>
        <v>0</v>
      </c>
      <c r="G233" s="38">
        <f>G214*$P119</f>
        <v>0</v>
      </c>
      <c r="H233" s="38">
        <f>H214*$P119</f>
        <v>0</v>
      </c>
      <c r="I233" s="38">
        <f>I214*$P119</f>
        <v>0</v>
      </c>
      <c r="J233" s="38">
        <f>J214*$P119</f>
        <v>0</v>
      </c>
      <c r="K233" s="38">
        <f>K214*$P119</f>
        <v>0</v>
      </c>
      <c r="L233" s="38">
        <f>L214*$P119</f>
        <v>0</v>
      </c>
      <c r="M233" s="38">
        <f>M214*$P119</f>
        <v>1.0833392201889305E-3</v>
      </c>
      <c r="N233" s="38">
        <f>N214*$P119</f>
        <v>3.9170685171553352E-3</v>
      </c>
      <c r="O233" s="38">
        <f>O214*$P119</f>
        <v>9.7679604498505362E-3</v>
      </c>
      <c r="P233" s="38">
        <f>P214*$P119</f>
        <v>1.7556803245516353E-2</v>
      </c>
      <c r="S233" s="28"/>
      <c r="T233" s="28"/>
      <c r="U233" s="28"/>
      <c r="V233" s="27"/>
      <c r="W233" s="27"/>
      <c r="X233" s="27"/>
      <c r="Y233" s="27"/>
      <c r="Z233" s="27"/>
    </row>
    <row r="234" spans="1:26" ht="15" customHeight="1" x14ac:dyDescent="0.2">
      <c r="A234" s="12" t="str">
        <f>$B$217&amp;B234</f>
        <v>Emerging Drug Uptake:JapanAd-RTS-hIL-12 + Veledimex ± Cemiplimab-Rwlc</v>
      </c>
      <c r="B234" s="17" t="s">
        <v>10</v>
      </c>
      <c r="C234" s="38">
        <f>C215*$P120</f>
        <v>0</v>
      </c>
      <c r="D234" s="38">
        <f>D215*$P120</f>
        <v>0</v>
      </c>
      <c r="E234" s="38">
        <f>E215*$P120</f>
        <v>0</v>
      </c>
      <c r="F234" s="38">
        <f>F215*$P120</f>
        <v>0</v>
      </c>
      <c r="G234" s="38">
        <f>G215*$P120</f>
        <v>0</v>
      </c>
      <c r="H234" s="38">
        <f>H215*$P120</f>
        <v>0</v>
      </c>
      <c r="I234" s="38">
        <f>I215*$P120</f>
        <v>0</v>
      </c>
      <c r="J234" s="38">
        <f>J215*$P120</f>
        <v>0</v>
      </c>
      <c r="K234" s="38">
        <f>K215*$P120</f>
        <v>0</v>
      </c>
      <c r="L234" s="38">
        <f>L215*$P120</f>
        <v>0</v>
      </c>
      <c r="M234" s="38">
        <f>M215*$P120</f>
        <v>0</v>
      </c>
      <c r="N234" s="38">
        <f>N215*$P120</f>
        <v>1.9692752931401491E-4</v>
      </c>
      <c r="O234" s="38">
        <f>O215*$P120</f>
        <v>8.6562451349491462E-4</v>
      </c>
      <c r="P234" s="38">
        <f>P215*$P120</f>
        <v>2.9937471251446383E-3</v>
      </c>
      <c r="S234" s="28"/>
      <c r="T234" s="28"/>
      <c r="U234" s="28"/>
      <c r="V234" s="27"/>
      <c r="W234" s="27"/>
      <c r="X234" s="27"/>
      <c r="Y234" s="27"/>
      <c r="Z234" s="27"/>
    </row>
    <row r="235" spans="1:26" x14ac:dyDescent="0.2">
      <c r="A235" s="12"/>
      <c r="B235" s="1"/>
      <c r="C235" s="1"/>
      <c r="D235" s="1"/>
      <c r="E235" s="1"/>
      <c r="F235" s="1"/>
      <c r="G235" s="1"/>
      <c r="H235" s="1"/>
      <c r="I235" s="1"/>
      <c r="J235" s="1"/>
      <c r="K235" s="1"/>
      <c r="L235" s="1"/>
      <c r="M235" s="1"/>
      <c r="N235" s="1"/>
      <c r="O235" s="1"/>
      <c r="P235" s="1"/>
      <c r="Q235" s="1"/>
      <c r="U235" s="37"/>
      <c r="V235" s="36"/>
      <c r="W235" s="27"/>
      <c r="X235" s="27"/>
      <c r="Y235" s="27"/>
      <c r="Z235" s="27"/>
    </row>
    <row r="236" spans="1:26" x14ac:dyDescent="0.2">
      <c r="A236" s="12"/>
      <c r="B236" s="35" t="s">
        <v>40</v>
      </c>
      <c r="C236" s="34">
        <v>0.85</v>
      </c>
      <c r="D236" s="34">
        <v>0.85</v>
      </c>
      <c r="E236" s="34">
        <v>0.85</v>
      </c>
      <c r="F236" s="34">
        <v>0.85</v>
      </c>
      <c r="G236" s="34">
        <v>0.85</v>
      </c>
      <c r="H236" s="34">
        <v>0.85</v>
      </c>
      <c r="I236" s="34">
        <v>0.85</v>
      </c>
      <c r="J236" s="34">
        <v>0.85</v>
      </c>
      <c r="K236" s="34">
        <v>0.85</v>
      </c>
      <c r="L236" s="34">
        <v>0.85</v>
      </c>
      <c r="M236" s="34">
        <v>0.85</v>
      </c>
      <c r="N236" s="34">
        <v>0.85</v>
      </c>
      <c r="O236" s="34">
        <v>0.85</v>
      </c>
      <c r="P236" s="34">
        <v>0.85</v>
      </c>
      <c r="U236" s="33"/>
      <c r="V236" s="32"/>
      <c r="W236" s="27"/>
      <c r="X236" s="27"/>
      <c r="Y236" s="27"/>
      <c r="Z236" s="27"/>
    </row>
    <row r="237" spans="1:26" x14ac:dyDescent="0.2">
      <c r="A237" s="12"/>
      <c r="B237" s="31"/>
      <c r="C237" s="30"/>
      <c r="D237" s="29"/>
      <c r="E237" s="29"/>
      <c r="F237" s="28"/>
      <c r="G237" s="28"/>
      <c r="H237" s="28"/>
      <c r="I237" s="28"/>
      <c r="J237" s="28"/>
      <c r="K237" s="28"/>
      <c r="L237" s="28"/>
      <c r="M237" s="28"/>
      <c r="N237" s="28"/>
      <c r="O237" s="28"/>
      <c r="P237" s="28"/>
      <c r="S237" s="28"/>
      <c r="T237" s="28"/>
      <c r="U237" s="28"/>
      <c r="V237" s="27"/>
      <c r="W237" s="27"/>
      <c r="X237" s="27"/>
      <c r="Y237" s="27"/>
      <c r="Z237" s="27"/>
    </row>
    <row r="238" spans="1:26" x14ac:dyDescent="0.2">
      <c r="A238" s="12"/>
      <c r="B238" s="13" t="s">
        <v>39</v>
      </c>
      <c r="C238" s="13" t="s">
        <v>7</v>
      </c>
      <c r="D238" s="13" t="s">
        <v>5</v>
      </c>
      <c r="E238" s="13" t="s">
        <v>4</v>
      </c>
      <c r="F238" s="13" t="s">
        <v>3</v>
      </c>
      <c r="G238" s="13" t="s">
        <v>2</v>
      </c>
      <c r="H238" s="13" t="s">
        <v>1</v>
      </c>
      <c r="I238" s="13" t="s">
        <v>0</v>
      </c>
    </row>
    <row r="239" spans="1:26" ht="15" customHeight="1" x14ac:dyDescent="0.2">
      <c r="A239" s="12" t="str">
        <f>$B$238&amp;B239</f>
        <v>Current - Annual cost of therapyFirst line of drug therapy following Surgery</v>
      </c>
      <c r="B239" s="24" t="s">
        <v>38</v>
      </c>
      <c r="C239" s="21"/>
      <c r="D239" s="26"/>
      <c r="E239" s="21"/>
      <c r="F239" s="21"/>
      <c r="G239" s="21"/>
      <c r="H239" s="21"/>
      <c r="I239" s="26"/>
      <c r="J239" s="23"/>
      <c r="U239" s="20" t="s">
        <v>37</v>
      </c>
      <c r="V239" s="20"/>
    </row>
    <row r="240" spans="1:26" ht="15" customHeight="1" x14ac:dyDescent="0.2">
      <c r="A240" s="12" t="str">
        <f>$B$238&amp;B240</f>
        <v>Current - Annual cost of therapySurgery ± Radiation Therapy/ Chemotherapy</v>
      </c>
      <c r="B240" s="25" t="s">
        <v>36</v>
      </c>
      <c r="C240" s="21">
        <v>150000</v>
      </c>
      <c r="D240" s="21">
        <f>C240*55%</f>
        <v>82500</v>
      </c>
      <c r="E240" s="21">
        <f>D240</f>
        <v>82500</v>
      </c>
      <c r="F240" s="21">
        <f>E240</f>
        <v>82500</v>
      </c>
      <c r="G240" s="21">
        <f>F240</f>
        <v>82500</v>
      </c>
      <c r="H240" s="21">
        <f>G240</f>
        <v>82500</v>
      </c>
      <c r="I240" s="21">
        <f>H240</f>
        <v>82500</v>
      </c>
      <c r="J240" s="23"/>
      <c r="U240" s="20"/>
      <c r="V240" s="20"/>
    </row>
    <row r="241" spans="1:22" ht="15" customHeight="1" x14ac:dyDescent="0.2">
      <c r="A241" s="12" t="str">
        <f>$B$238&amp;B241</f>
        <v>Current - Annual cost of therapyTemozolomide+Radiation Therapy (RT) or Radiation Alone- Maintanance therapy</v>
      </c>
      <c r="B241" s="25" t="s">
        <v>35</v>
      </c>
      <c r="C241" s="21">
        <v>50000</v>
      </c>
      <c r="D241" s="21">
        <f>C241*55%</f>
        <v>27500.000000000004</v>
      </c>
      <c r="E241" s="21">
        <f>D241</f>
        <v>27500.000000000004</v>
      </c>
      <c r="F241" s="21">
        <f>E241</f>
        <v>27500.000000000004</v>
      </c>
      <c r="G241" s="21">
        <f>F241</f>
        <v>27500.000000000004</v>
      </c>
      <c r="H241" s="21">
        <f>G241</f>
        <v>27500.000000000004</v>
      </c>
      <c r="I241" s="21">
        <f>H241</f>
        <v>27500.000000000004</v>
      </c>
      <c r="J241" s="23"/>
      <c r="U241" s="20"/>
      <c r="V241" s="20"/>
    </row>
    <row r="242" spans="1:22" ht="15" customHeight="1" x14ac:dyDescent="0.2">
      <c r="A242" s="12" t="str">
        <f>$B$238&amp;B242</f>
        <v>Current - Annual cost of therapyTemozolomide monotherapy</v>
      </c>
      <c r="B242" s="25" t="s">
        <v>34</v>
      </c>
      <c r="C242" s="21">
        <v>37000</v>
      </c>
      <c r="D242" s="21">
        <f>C242*55%</f>
        <v>20350</v>
      </c>
      <c r="E242" s="21">
        <f>D242</f>
        <v>20350</v>
      </c>
      <c r="F242" s="21">
        <f>E242</f>
        <v>20350</v>
      </c>
      <c r="G242" s="21">
        <f>F242</f>
        <v>20350</v>
      </c>
      <c r="H242" s="21">
        <f>G242</f>
        <v>20350</v>
      </c>
      <c r="I242" s="21">
        <f>H242</f>
        <v>20350</v>
      </c>
      <c r="J242" s="23"/>
      <c r="U242" s="20"/>
      <c r="V242" s="20"/>
    </row>
    <row r="243" spans="1:22" ht="15" customHeight="1" x14ac:dyDescent="0.2">
      <c r="A243" s="12" t="str">
        <f>$B$238&amp;B243</f>
        <v>Current - Annual cost of therapySecond line of treatment</v>
      </c>
      <c r="B243" s="24" t="s">
        <v>33</v>
      </c>
      <c r="C243" s="21"/>
      <c r="D243" s="21"/>
      <c r="E243" s="21"/>
      <c r="F243" s="21"/>
      <c r="G243" s="21"/>
      <c r="H243" s="21"/>
      <c r="I243" s="21"/>
      <c r="J243" s="23"/>
      <c r="U243" s="20"/>
      <c r="V243" s="20"/>
    </row>
    <row r="244" spans="1:22" ht="15" customHeight="1" x14ac:dyDescent="0.2">
      <c r="A244" s="12" t="str">
        <f>$B$238&amp;B244</f>
        <v>Current - Annual cost of therapyBevacizumab monotherapy</v>
      </c>
      <c r="B244" s="22" t="s">
        <v>32</v>
      </c>
      <c r="C244" s="21">
        <v>59000</v>
      </c>
      <c r="D244" s="21">
        <f>C244*55%</f>
        <v>32450.000000000004</v>
      </c>
      <c r="E244" s="21">
        <f>D244</f>
        <v>32450.000000000004</v>
      </c>
      <c r="F244" s="21">
        <f>E244</f>
        <v>32450.000000000004</v>
      </c>
      <c r="G244" s="21">
        <f>F244</f>
        <v>32450.000000000004</v>
      </c>
      <c r="H244" s="21">
        <f>G244</f>
        <v>32450.000000000004</v>
      </c>
      <c r="I244" s="21">
        <f>H244</f>
        <v>32450.000000000004</v>
      </c>
      <c r="U244" s="20"/>
      <c r="V244" s="20"/>
    </row>
    <row r="245" spans="1:22" ht="15" customHeight="1" x14ac:dyDescent="0.2">
      <c r="A245" s="12" t="str">
        <f>$B$238&amp;B245</f>
        <v>Current - Annual cost of therapyBevacizumab Combination therapy</v>
      </c>
      <c r="B245" s="22" t="s">
        <v>31</v>
      </c>
      <c r="C245" s="21">
        <v>85000</v>
      </c>
      <c r="D245" s="21">
        <f>C245*55%</f>
        <v>46750.000000000007</v>
      </c>
      <c r="E245" s="21">
        <f>D245</f>
        <v>46750.000000000007</v>
      </c>
      <c r="F245" s="21">
        <f>E245</f>
        <v>46750.000000000007</v>
      </c>
      <c r="G245" s="21">
        <f>F245</f>
        <v>46750.000000000007</v>
      </c>
      <c r="H245" s="21">
        <f>G245</f>
        <v>46750.000000000007</v>
      </c>
      <c r="I245" s="21">
        <f>H245</f>
        <v>46750.000000000007</v>
      </c>
      <c r="U245" s="20"/>
      <c r="V245" s="20"/>
    </row>
    <row r="246" spans="1:22" ht="15" customHeight="1" x14ac:dyDescent="0.2">
      <c r="A246" s="12" t="str">
        <f>$B$238&amp;B246</f>
        <v>Current - Annual cost of therapyTemozolomide (Both as Combination and monotherapy)</v>
      </c>
      <c r="B246" s="22" t="s">
        <v>30</v>
      </c>
      <c r="C246" s="21">
        <v>35000</v>
      </c>
      <c r="D246" s="21">
        <f>C246*55%</f>
        <v>19250</v>
      </c>
      <c r="E246" s="21">
        <f>D246</f>
        <v>19250</v>
      </c>
      <c r="F246" s="21">
        <f>E246</f>
        <v>19250</v>
      </c>
      <c r="G246" s="21">
        <f>F246</f>
        <v>19250</v>
      </c>
      <c r="H246" s="21">
        <f>G246</f>
        <v>19250</v>
      </c>
      <c r="I246" s="21">
        <f>H246</f>
        <v>19250</v>
      </c>
      <c r="U246" s="20"/>
      <c r="V246" s="20"/>
    </row>
    <row r="247" spans="1:22" ht="15" customHeight="1" x14ac:dyDescent="0.2">
      <c r="A247" s="12" t="str">
        <f>$B$238&amp;B247</f>
        <v>Current - Annual cost of therapyOther Systemic therapies (Concomitant and Adjuvant Chemotherapy agents)</v>
      </c>
      <c r="B247" s="22" t="s">
        <v>29</v>
      </c>
      <c r="C247" s="21">
        <v>22196</v>
      </c>
      <c r="D247" s="21">
        <f>C247*55%</f>
        <v>12207.800000000001</v>
      </c>
      <c r="E247" s="21">
        <f>D247</f>
        <v>12207.800000000001</v>
      </c>
      <c r="F247" s="21">
        <f>E247</f>
        <v>12207.800000000001</v>
      </c>
      <c r="G247" s="21">
        <f>F247</f>
        <v>12207.800000000001</v>
      </c>
      <c r="H247" s="21">
        <f>G247</f>
        <v>12207.800000000001</v>
      </c>
      <c r="I247" s="21">
        <f>H247</f>
        <v>12207.800000000001</v>
      </c>
      <c r="U247" s="20"/>
      <c r="V247" s="20"/>
    </row>
    <row r="248" spans="1:22" x14ac:dyDescent="0.2">
      <c r="A248" s="12"/>
    </row>
    <row r="249" spans="1:22" x14ac:dyDescent="0.2">
      <c r="A249" s="12"/>
      <c r="B249" s="13" t="s">
        <v>28</v>
      </c>
      <c r="C249" s="13" t="str">
        <f>C238</f>
        <v>USA</v>
      </c>
      <c r="D249" s="13" t="str">
        <f>D238</f>
        <v>Germany</v>
      </c>
      <c r="E249" s="13" t="str">
        <f>E238</f>
        <v>France</v>
      </c>
      <c r="F249" s="13" t="str">
        <f>F238</f>
        <v>Italy</v>
      </c>
      <c r="G249" s="13" t="str">
        <f>G238</f>
        <v>Spain</v>
      </c>
      <c r="H249" s="13" t="str">
        <f>H238</f>
        <v>UK</v>
      </c>
      <c r="I249" s="13" t="str">
        <f>I238</f>
        <v>Japan</v>
      </c>
    </row>
    <row r="250" spans="1:22" x14ac:dyDescent="0.2">
      <c r="A250" s="12" t="str">
        <f>$B$249&amp;B250</f>
        <v>Emerging Therapies- Annual cost of therapyRegorafenib</v>
      </c>
      <c r="B250" s="19" t="s">
        <v>27</v>
      </c>
      <c r="C250" s="16">
        <v>100000</v>
      </c>
      <c r="D250" s="16">
        <f>C250*55%</f>
        <v>55000.000000000007</v>
      </c>
      <c r="E250" s="16">
        <f>D250</f>
        <v>55000.000000000007</v>
      </c>
      <c r="F250" s="16">
        <f>E250</f>
        <v>55000.000000000007</v>
      </c>
      <c r="G250" s="16">
        <f>F250</f>
        <v>55000.000000000007</v>
      </c>
      <c r="H250" s="16">
        <f>G250</f>
        <v>55000.000000000007</v>
      </c>
      <c r="I250" s="16">
        <f>H250</f>
        <v>55000.000000000007</v>
      </c>
      <c r="U250" s="9" t="s">
        <v>26</v>
      </c>
      <c r="V250" s="9"/>
    </row>
    <row r="251" spans="1:22" x14ac:dyDescent="0.2">
      <c r="A251" s="12" t="str">
        <f>$B$249&amp;B251</f>
        <v>Emerging Therapies- Annual cost of therapyTrans Sodium Crocetinate </v>
      </c>
      <c r="B251" s="17" t="s">
        <v>25</v>
      </c>
      <c r="C251" s="16">
        <v>107000</v>
      </c>
      <c r="D251" s="16">
        <f>C251*55%</f>
        <v>58850.000000000007</v>
      </c>
      <c r="E251" s="16">
        <f>D251</f>
        <v>58850.000000000007</v>
      </c>
      <c r="F251" s="16">
        <f>E251</f>
        <v>58850.000000000007</v>
      </c>
      <c r="G251" s="16">
        <f>F251</f>
        <v>58850.000000000007</v>
      </c>
      <c r="H251" s="16">
        <f>G251</f>
        <v>58850.000000000007</v>
      </c>
      <c r="I251" s="16">
        <f>H251</f>
        <v>58850.000000000007</v>
      </c>
      <c r="U251" s="9"/>
      <c r="V251" s="9"/>
    </row>
    <row r="252" spans="1:22" x14ac:dyDescent="0.2">
      <c r="A252" s="12" t="str">
        <f>$B$249&amp;B252</f>
        <v>Emerging Therapies- Annual cost of therapyOfranergene obadenovec (VB-111)</v>
      </c>
      <c r="B252" s="17" t="s">
        <v>24</v>
      </c>
      <c r="C252" s="16">
        <v>87000</v>
      </c>
      <c r="D252" s="16">
        <f>C252*55%</f>
        <v>47850.000000000007</v>
      </c>
      <c r="E252" s="16">
        <f>D252</f>
        <v>47850.000000000007</v>
      </c>
      <c r="F252" s="16">
        <f>E252</f>
        <v>47850.000000000007</v>
      </c>
      <c r="G252" s="16">
        <f>F252</f>
        <v>47850.000000000007</v>
      </c>
      <c r="H252" s="16">
        <f>G252</f>
        <v>47850.000000000007</v>
      </c>
      <c r="I252" s="16">
        <f>H252</f>
        <v>47850.000000000007</v>
      </c>
      <c r="U252" s="9"/>
      <c r="V252" s="9"/>
    </row>
    <row r="253" spans="1:22" x14ac:dyDescent="0.2">
      <c r="A253" s="12" t="str">
        <f>$B$249&amp;B253</f>
        <v>Emerging Therapies- Annual cost of therapyDurvalumab</v>
      </c>
      <c r="B253" s="19" t="s">
        <v>23</v>
      </c>
      <c r="C253" s="16">
        <v>104400</v>
      </c>
      <c r="D253" s="16">
        <f>C253*55%</f>
        <v>57420.000000000007</v>
      </c>
      <c r="E253" s="16">
        <f>D253</f>
        <v>57420.000000000007</v>
      </c>
      <c r="F253" s="16">
        <f>E253</f>
        <v>57420.000000000007</v>
      </c>
      <c r="G253" s="16">
        <f>F253</f>
        <v>57420.000000000007</v>
      </c>
      <c r="H253" s="16">
        <f>G253</f>
        <v>57420.000000000007</v>
      </c>
      <c r="I253" s="16">
        <f>H253</f>
        <v>57420.000000000007</v>
      </c>
      <c r="U253" s="9"/>
      <c r="V253" s="9"/>
    </row>
    <row r="254" spans="1:22" x14ac:dyDescent="0.2">
      <c r="A254" s="12" t="str">
        <f>$B$249&amp;B254</f>
        <v>Emerging Therapies- Annual cost of therapyTasadenoturev (DNX-2401) + Pembrolizumab</v>
      </c>
      <c r="B254" s="17" t="s">
        <v>22</v>
      </c>
      <c r="C254" s="16">
        <v>165000</v>
      </c>
      <c r="D254" s="16">
        <f>C254*55%</f>
        <v>90750.000000000015</v>
      </c>
      <c r="E254" s="16">
        <f>D254</f>
        <v>90750.000000000015</v>
      </c>
      <c r="F254" s="16">
        <f>E254</f>
        <v>90750.000000000015</v>
      </c>
      <c r="G254" s="16">
        <f>F254</f>
        <v>90750.000000000015</v>
      </c>
      <c r="H254" s="16">
        <f>G254</f>
        <v>90750.000000000015</v>
      </c>
      <c r="I254" s="16">
        <f>H254</f>
        <v>90750.000000000015</v>
      </c>
      <c r="U254" s="9"/>
      <c r="V254" s="9"/>
    </row>
    <row r="255" spans="1:22" x14ac:dyDescent="0.2">
      <c r="A255" s="12" t="str">
        <f>$B$249&amp;B255</f>
        <v>Emerging Therapies- Annual cost of therapyVAL-083 (Dianhydrogalactitol)</v>
      </c>
      <c r="B255" s="17" t="s">
        <v>21</v>
      </c>
      <c r="C255" s="16">
        <v>137000</v>
      </c>
      <c r="D255" s="16">
        <f>C255*55%</f>
        <v>75350</v>
      </c>
      <c r="E255" s="16">
        <f>D255</f>
        <v>75350</v>
      </c>
      <c r="F255" s="16">
        <f>E255</f>
        <v>75350</v>
      </c>
      <c r="G255" s="16">
        <f>F255</f>
        <v>75350</v>
      </c>
      <c r="H255" s="16">
        <f>G255</f>
        <v>75350</v>
      </c>
      <c r="I255" s="16">
        <f>H255</f>
        <v>75350</v>
      </c>
      <c r="U255" s="9"/>
      <c r="V255" s="9"/>
    </row>
    <row r="256" spans="1:22" x14ac:dyDescent="0.2">
      <c r="A256" s="12" t="str">
        <f>$B$249&amp;B256</f>
        <v>Emerging Therapies- Annual cost of therapyONC201</v>
      </c>
      <c r="B256" s="17" t="s">
        <v>20</v>
      </c>
      <c r="C256" s="18">
        <v>150000</v>
      </c>
      <c r="D256" s="16">
        <f>C256*55%</f>
        <v>82500</v>
      </c>
      <c r="E256" s="16">
        <f>D256</f>
        <v>82500</v>
      </c>
      <c r="F256" s="16">
        <f>E256</f>
        <v>82500</v>
      </c>
      <c r="G256" s="16">
        <f>F256</f>
        <v>82500</v>
      </c>
      <c r="H256" s="16">
        <f>G256</f>
        <v>82500</v>
      </c>
      <c r="I256" s="16">
        <f>H256</f>
        <v>82500</v>
      </c>
      <c r="U256" s="9"/>
      <c r="V256" s="9"/>
    </row>
    <row r="257" spans="1:22" x14ac:dyDescent="0.2">
      <c r="A257" s="12" t="str">
        <f>$B$249&amp;B257</f>
        <v>Emerging Therapies- Annual cost of therapySelinexor (KPT-330)</v>
      </c>
      <c r="B257" s="19" t="s">
        <v>19</v>
      </c>
      <c r="C257" s="16">
        <v>120000</v>
      </c>
      <c r="D257" s="16">
        <f>C257*55%</f>
        <v>66000</v>
      </c>
      <c r="E257" s="16">
        <f>D257</f>
        <v>66000</v>
      </c>
      <c r="F257" s="16">
        <f>E257</f>
        <v>66000</v>
      </c>
      <c r="G257" s="16">
        <f>F257</f>
        <v>66000</v>
      </c>
      <c r="H257" s="16">
        <f>G257</f>
        <v>66000</v>
      </c>
      <c r="I257" s="16">
        <f>H257</f>
        <v>66000</v>
      </c>
    </row>
    <row r="258" spans="1:22" x14ac:dyDescent="0.2">
      <c r="A258" s="12" t="str">
        <f>$B$249&amp;B258</f>
        <v>Emerging Therapies- Annual cost of therapyVBI-1901</v>
      </c>
      <c r="B258" s="17" t="s">
        <v>18</v>
      </c>
      <c r="C258" s="16">
        <v>120900</v>
      </c>
      <c r="D258" s="16">
        <f>C258*55%</f>
        <v>66495</v>
      </c>
      <c r="E258" s="16">
        <f>D258</f>
        <v>66495</v>
      </c>
      <c r="F258" s="16">
        <f>E258</f>
        <v>66495</v>
      </c>
      <c r="G258" s="16">
        <f>F258</f>
        <v>66495</v>
      </c>
      <c r="H258" s="16">
        <f>G258</f>
        <v>66495</v>
      </c>
      <c r="I258" s="16">
        <f>H258</f>
        <v>66495</v>
      </c>
    </row>
    <row r="259" spans="1:22" x14ac:dyDescent="0.2">
      <c r="A259" s="12" t="str">
        <f>$B$249&amp;B259</f>
        <v>Emerging Therapies- Annual cost of therapyPaxalisib (GDC-0084)</v>
      </c>
      <c r="B259" s="17" t="s">
        <v>17</v>
      </c>
      <c r="C259" s="16">
        <v>90000</v>
      </c>
      <c r="D259" s="16">
        <f>C259*55%</f>
        <v>49500.000000000007</v>
      </c>
      <c r="E259" s="16">
        <f>D259</f>
        <v>49500.000000000007</v>
      </c>
      <c r="F259" s="16">
        <f>E259</f>
        <v>49500.000000000007</v>
      </c>
      <c r="G259" s="16">
        <f>F259</f>
        <v>49500.000000000007</v>
      </c>
      <c r="H259" s="16">
        <f>G259</f>
        <v>49500.000000000007</v>
      </c>
      <c r="I259" s="16">
        <f>H259</f>
        <v>49500.000000000007</v>
      </c>
    </row>
    <row r="260" spans="1:22" x14ac:dyDescent="0.2">
      <c r="A260" s="12" t="str">
        <f>$B$249&amp;B260</f>
        <v>Emerging Therapies- Annual cost of therapyAV-GBM-1</v>
      </c>
      <c r="B260" s="17" t="s">
        <v>16</v>
      </c>
      <c r="C260" s="16">
        <v>120900</v>
      </c>
      <c r="D260" s="16">
        <f>C260*55%</f>
        <v>66495</v>
      </c>
      <c r="E260" s="16">
        <f>D260</f>
        <v>66495</v>
      </c>
      <c r="F260" s="16">
        <f>E260</f>
        <v>66495</v>
      </c>
      <c r="G260" s="16">
        <f>F260</f>
        <v>66495</v>
      </c>
      <c r="H260" s="16">
        <f>G260</f>
        <v>66495</v>
      </c>
      <c r="I260" s="16">
        <f>H260</f>
        <v>66495</v>
      </c>
    </row>
    <row r="261" spans="1:22" x14ac:dyDescent="0.2">
      <c r="A261" s="12" t="str">
        <f>$B$249&amp;B261</f>
        <v xml:space="preserve">Emerging Therapies- Annual cost of therapyMDNA55 </v>
      </c>
      <c r="B261" s="17" t="s">
        <v>15</v>
      </c>
      <c r="C261" s="16">
        <v>95000</v>
      </c>
      <c r="D261" s="16">
        <f>C261*55%</f>
        <v>52250.000000000007</v>
      </c>
      <c r="E261" s="16">
        <f>D261</f>
        <v>52250.000000000007</v>
      </c>
      <c r="F261" s="16">
        <f>E261</f>
        <v>52250.000000000007</v>
      </c>
      <c r="G261" s="16">
        <f>F261</f>
        <v>52250.000000000007</v>
      </c>
      <c r="H261" s="16">
        <f>G261</f>
        <v>52250.000000000007</v>
      </c>
      <c r="I261" s="16">
        <f>H261</f>
        <v>52250.000000000007</v>
      </c>
    </row>
    <row r="262" spans="1:22" x14ac:dyDescent="0.2">
      <c r="A262" s="12" t="str">
        <f>$B$249&amp;B262</f>
        <v>Emerging Therapies- Annual cost of therapypp65-shLAMP DC with GM-CSF (ITI-1000)</v>
      </c>
      <c r="B262" s="17" t="s">
        <v>14</v>
      </c>
      <c r="C262" s="16">
        <v>120900</v>
      </c>
      <c r="D262" s="16">
        <f>C262*55%</f>
        <v>66495</v>
      </c>
      <c r="E262" s="16">
        <f>D262</f>
        <v>66495</v>
      </c>
      <c r="F262" s="16">
        <f>E262</f>
        <v>66495</v>
      </c>
      <c r="G262" s="16">
        <f>F262</f>
        <v>66495</v>
      </c>
      <c r="H262" s="16">
        <f>G262</f>
        <v>66495</v>
      </c>
      <c r="I262" s="16">
        <f>H262</f>
        <v>66495</v>
      </c>
    </row>
    <row r="263" spans="1:22" x14ac:dyDescent="0.2">
      <c r="A263" s="12" t="str">
        <f>$B$249&amp;B263</f>
        <v>Emerging Therapies- Annual cost of therapyINO-5401+ INO-9012+Cemiplimab (REGN2810)</v>
      </c>
      <c r="B263" s="17" t="s">
        <v>13</v>
      </c>
      <c r="C263" s="16">
        <v>135000</v>
      </c>
      <c r="D263" s="16">
        <f>C263*55%</f>
        <v>74250</v>
      </c>
      <c r="E263" s="16">
        <f>D263</f>
        <v>74250</v>
      </c>
      <c r="F263" s="16">
        <f>E263</f>
        <v>74250</v>
      </c>
      <c r="G263" s="16">
        <f>F263</f>
        <v>74250</v>
      </c>
      <c r="H263" s="16">
        <f>G263</f>
        <v>74250</v>
      </c>
      <c r="I263" s="16">
        <f>H263</f>
        <v>74250</v>
      </c>
      <c r="K263" s="15"/>
    </row>
    <row r="264" spans="1:22" x14ac:dyDescent="0.2">
      <c r="A264" s="12" t="str">
        <f>$B$249&amp;B264</f>
        <v>Emerging Therapies- Annual cost of therapyEflornithine + Lomustine</v>
      </c>
      <c r="B264" s="17" t="s">
        <v>12</v>
      </c>
      <c r="C264" s="18">
        <v>128000</v>
      </c>
      <c r="D264" s="16">
        <f>C264*55%</f>
        <v>70400</v>
      </c>
      <c r="E264" s="16">
        <f>D264</f>
        <v>70400</v>
      </c>
      <c r="F264" s="16">
        <f>E264</f>
        <v>70400</v>
      </c>
      <c r="G264" s="16">
        <f>F264</f>
        <v>70400</v>
      </c>
      <c r="H264" s="16">
        <f>G264</f>
        <v>70400</v>
      </c>
      <c r="I264" s="16">
        <f>H264</f>
        <v>70400</v>
      </c>
      <c r="K264" s="15"/>
    </row>
    <row r="265" spans="1:22" x14ac:dyDescent="0.2">
      <c r="A265" s="12" t="str">
        <f>$B$249&amp;B265</f>
        <v>Emerging Therapies- Annual cost of therapyEverolimus (RAD001)</v>
      </c>
      <c r="B265" s="17" t="s">
        <v>11</v>
      </c>
      <c r="C265" s="16">
        <v>142440</v>
      </c>
      <c r="D265" s="16">
        <f>C265*55%</f>
        <v>78342</v>
      </c>
      <c r="E265" s="16">
        <f>D265</f>
        <v>78342</v>
      </c>
      <c r="F265" s="16">
        <f>E265</f>
        <v>78342</v>
      </c>
      <c r="G265" s="16">
        <f>F265</f>
        <v>78342</v>
      </c>
      <c r="H265" s="16">
        <f>G265</f>
        <v>78342</v>
      </c>
      <c r="I265" s="16">
        <f>H265</f>
        <v>78342</v>
      </c>
      <c r="K265" s="15"/>
    </row>
    <row r="266" spans="1:22" x14ac:dyDescent="0.2">
      <c r="A266" s="12" t="str">
        <f>$B$249&amp;B266</f>
        <v>Emerging Therapies- Annual cost of therapyAd-RTS-hIL-12 + Veledimex ± Cemiplimab-Rwlc</v>
      </c>
      <c r="B266" s="17" t="s">
        <v>10</v>
      </c>
      <c r="C266" s="16">
        <v>475000</v>
      </c>
      <c r="D266" s="16">
        <f>C266*55%</f>
        <v>261250.00000000003</v>
      </c>
      <c r="E266" s="16">
        <f>D266</f>
        <v>261250.00000000003</v>
      </c>
      <c r="F266" s="16">
        <f>E266</f>
        <v>261250.00000000003</v>
      </c>
      <c r="G266" s="16">
        <f>F266</f>
        <v>261250.00000000003</v>
      </c>
      <c r="H266" s="16">
        <f>G266</f>
        <v>261250.00000000003</v>
      </c>
      <c r="I266" s="16">
        <f>H266</f>
        <v>261250.00000000003</v>
      </c>
      <c r="K266" s="15"/>
    </row>
    <row r="267" spans="1:22" x14ac:dyDescent="0.2">
      <c r="A267" s="12"/>
    </row>
    <row r="268" spans="1:22" x14ac:dyDescent="0.2">
      <c r="A268" s="12"/>
      <c r="B268" s="14" t="s">
        <v>9</v>
      </c>
    </row>
    <row r="269" spans="1:22" x14ac:dyDescent="0.2">
      <c r="A269" s="12" t="str">
        <f>$B$268&amp;B269</f>
        <v>RARUSA</v>
      </c>
      <c r="B269" s="11" t="s">
        <v>7</v>
      </c>
      <c r="C269" s="10">
        <v>0.15</v>
      </c>
      <c r="D269" s="10">
        <v>0.15</v>
      </c>
      <c r="E269" s="10">
        <v>0.15</v>
      </c>
      <c r="F269" s="10">
        <v>0.15</v>
      </c>
      <c r="G269" s="10">
        <v>0.15</v>
      </c>
      <c r="H269" s="10">
        <v>0.15</v>
      </c>
      <c r="I269" s="10">
        <v>0.15</v>
      </c>
      <c r="J269" s="10">
        <v>0.15</v>
      </c>
      <c r="K269" s="10">
        <v>0.15</v>
      </c>
      <c r="L269" s="10">
        <v>0.15</v>
      </c>
      <c r="M269" s="10">
        <v>0.15</v>
      </c>
      <c r="N269" s="10">
        <v>0.15</v>
      </c>
      <c r="O269" s="10">
        <v>0.15</v>
      </c>
      <c r="P269" s="10">
        <v>0.15</v>
      </c>
      <c r="Q269" s="3"/>
      <c r="U269" s="9" t="s">
        <v>6</v>
      </c>
      <c r="V269" s="9"/>
    </row>
    <row r="270" spans="1:22" x14ac:dyDescent="0.2">
      <c r="A270" s="12" t="str">
        <f>$B$268&amp;B270</f>
        <v>RARGermany</v>
      </c>
      <c r="B270" s="11" t="s">
        <v>5</v>
      </c>
      <c r="C270" s="10">
        <v>0.1</v>
      </c>
      <c r="D270" s="10">
        <v>0.1</v>
      </c>
      <c r="E270" s="10">
        <v>0.1</v>
      </c>
      <c r="F270" s="10">
        <v>0.1</v>
      </c>
      <c r="G270" s="10">
        <v>0.1</v>
      </c>
      <c r="H270" s="10">
        <v>0.1</v>
      </c>
      <c r="I270" s="10">
        <v>0.1</v>
      </c>
      <c r="J270" s="10">
        <v>0.1</v>
      </c>
      <c r="K270" s="10">
        <v>0.1</v>
      </c>
      <c r="L270" s="10">
        <v>0.1</v>
      </c>
      <c r="M270" s="10">
        <v>0.1</v>
      </c>
      <c r="N270" s="10">
        <v>0.1</v>
      </c>
      <c r="O270" s="10">
        <v>0.1</v>
      </c>
      <c r="P270" s="10">
        <v>0.1</v>
      </c>
      <c r="Q270" s="3"/>
      <c r="U270" s="9"/>
      <c r="V270" s="9"/>
    </row>
    <row r="271" spans="1:22" x14ac:dyDescent="0.2">
      <c r="A271" s="12" t="str">
        <f>$B$268&amp;B271</f>
        <v>RARFrance</v>
      </c>
      <c r="B271" s="11" t="s">
        <v>4</v>
      </c>
      <c r="C271" s="10">
        <v>0.1</v>
      </c>
      <c r="D271" s="10">
        <v>0.1</v>
      </c>
      <c r="E271" s="10">
        <v>0.1</v>
      </c>
      <c r="F271" s="10">
        <v>0.1</v>
      </c>
      <c r="G271" s="10">
        <v>0.1</v>
      </c>
      <c r="H271" s="10">
        <v>0.1</v>
      </c>
      <c r="I271" s="10">
        <v>0.1</v>
      </c>
      <c r="J271" s="10">
        <v>0.1</v>
      </c>
      <c r="K271" s="10">
        <v>0.1</v>
      </c>
      <c r="L271" s="10">
        <v>0.1</v>
      </c>
      <c r="M271" s="10">
        <v>0.1</v>
      </c>
      <c r="N271" s="10">
        <v>0.1</v>
      </c>
      <c r="O271" s="10">
        <v>0.1</v>
      </c>
      <c r="P271" s="10">
        <v>0.1</v>
      </c>
      <c r="Q271" s="3"/>
      <c r="U271" s="9"/>
      <c r="V271" s="9"/>
    </row>
    <row r="272" spans="1:22" x14ac:dyDescent="0.2">
      <c r="A272" s="12" t="str">
        <f>$B$268&amp;B272</f>
        <v>RARItaly</v>
      </c>
      <c r="B272" s="11" t="s">
        <v>3</v>
      </c>
      <c r="C272" s="10">
        <v>0.1</v>
      </c>
      <c r="D272" s="10">
        <v>0.1</v>
      </c>
      <c r="E272" s="10">
        <v>0.1</v>
      </c>
      <c r="F272" s="10">
        <v>0.1</v>
      </c>
      <c r="G272" s="10">
        <v>0.1</v>
      </c>
      <c r="H272" s="10">
        <v>0.1</v>
      </c>
      <c r="I272" s="10">
        <v>0.1</v>
      </c>
      <c r="J272" s="10">
        <v>0.1</v>
      </c>
      <c r="K272" s="10">
        <v>0.1</v>
      </c>
      <c r="L272" s="10">
        <v>0.1</v>
      </c>
      <c r="M272" s="10">
        <v>0.1</v>
      </c>
      <c r="N272" s="10">
        <v>0.1</v>
      </c>
      <c r="O272" s="10">
        <v>0.1</v>
      </c>
      <c r="P272" s="10">
        <v>0.1</v>
      </c>
      <c r="Q272" s="3"/>
      <c r="U272" s="9"/>
      <c r="V272" s="9"/>
    </row>
    <row r="273" spans="1:22" x14ac:dyDescent="0.2">
      <c r="A273" s="12" t="str">
        <f>$B$268&amp;B273</f>
        <v>RARSpain</v>
      </c>
      <c r="B273" s="11" t="s">
        <v>2</v>
      </c>
      <c r="C273" s="10">
        <v>0.1</v>
      </c>
      <c r="D273" s="10">
        <v>0.1</v>
      </c>
      <c r="E273" s="10">
        <v>0.1</v>
      </c>
      <c r="F273" s="10">
        <v>0.1</v>
      </c>
      <c r="G273" s="10">
        <v>0.1</v>
      </c>
      <c r="H273" s="10">
        <v>0.1</v>
      </c>
      <c r="I273" s="10">
        <v>0.1</v>
      </c>
      <c r="J273" s="10">
        <v>0.1</v>
      </c>
      <c r="K273" s="10">
        <v>0.1</v>
      </c>
      <c r="L273" s="10">
        <v>0.1</v>
      </c>
      <c r="M273" s="10">
        <v>0.1</v>
      </c>
      <c r="N273" s="10">
        <v>0.1</v>
      </c>
      <c r="O273" s="10">
        <v>0.1</v>
      </c>
      <c r="P273" s="10">
        <v>0.1</v>
      </c>
      <c r="Q273" s="3"/>
      <c r="U273" s="9"/>
      <c r="V273" s="9"/>
    </row>
    <row r="274" spans="1:22" x14ac:dyDescent="0.2">
      <c r="A274" s="12" t="str">
        <f>$B$268&amp;B274</f>
        <v>RARUK</v>
      </c>
      <c r="B274" s="11" t="s">
        <v>1</v>
      </c>
      <c r="C274" s="10">
        <v>0.1</v>
      </c>
      <c r="D274" s="10">
        <v>0.1</v>
      </c>
      <c r="E274" s="10">
        <v>0.1</v>
      </c>
      <c r="F274" s="10">
        <v>0.1</v>
      </c>
      <c r="G274" s="10">
        <v>0.1</v>
      </c>
      <c r="H274" s="10">
        <v>0.1</v>
      </c>
      <c r="I274" s="10">
        <v>0.1</v>
      </c>
      <c r="J274" s="10">
        <v>0.1</v>
      </c>
      <c r="K274" s="10">
        <v>0.1</v>
      </c>
      <c r="L274" s="10">
        <v>0.1</v>
      </c>
      <c r="M274" s="10">
        <v>0.1</v>
      </c>
      <c r="N274" s="10">
        <v>0.1</v>
      </c>
      <c r="O274" s="10">
        <v>0.1</v>
      </c>
      <c r="P274" s="10">
        <v>0.1</v>
      </c>
      <c r="Q274" s="3"/>
      <c r="U274" s="9"/>
      <c r="V274" s="9"/>
    </row>
    <row r="275" spans="1:22" x14ac:dyDescent="0.2">
      <c r="A275" s="12" t="str">
        <f>$B$268&amp;B275</f>
        <v>RARJapan</v>
      </c>
      <c r="B275" s="11" t="s">
        <v>0</v>
      </c>
      <c r="C275" s="10">
        <v>0.1</v>
      </c>
      <c r="D275" s="10">
        <v>0.1</v>
      </c>
      <c r="E275" s="10">
        <v>0.1</v>
      </c>
      <c r="F275" s="10">
        <v>0.1</v>
      </c>
      <c r="G275" s="10">
        <v>0.1</v>
      </c>
      <c r="H275" s="10">
        <v>0.1</v>
      </c>
      <c r="I275" s="10">
        <v>0.1</v>
      </c>
      <c r="J275" s="10">
        <v>0.1</v>
      </c>
      <c r="K275" s="10">
        <v>0.1</v>
      </c>
      <c r="L275" s="10">
        <v>0.1</v>
      </c>
      <c r="M275" s="10">
        <v>0.1</v>
      </c>
      <c r="N275" s="10">
        <v>0.1</v>
      </c>
      <c r="O275" s="10">
        <v>0.1</v>
      </c>
      <c r="P275" s="10">
        <v>0.1</v>
      </c>
      <c r="Q275" s="3"/>
      <c r="U275" s="9"/>
      <c r="V275" s="9"/>
    </row>
    <row r="276" spans="1:22" x14ac:dyDescent="0.2">
      <c r="A276" s="12"/>
    </row>
    <row r="277" spans="1:22" x14ac:dyDescent="0.2">
      <c r="A277" s="12"/>
      <c r="B277" s="13" t="s">
        <v>8</v>
      </c>
    </row>
    <row r="278" spans="1:22" x14ac:dyDescent="0.2">
      <c r="A278" s="12" t="str">
        <f>$B$277&amp;B278</f>
        <v>PAPUSA</v>
      </c>
      <c r="B278" s="11" t="s">
        <v>7</v>
      </c>
      <c r="C278" s="10">
        <v>0.1</v>
      </c>
      <c r="D278" s="10">
        <v>0.1</v>
      </c>
      <c r="E278" s="10">
        <v>0.1</v>
      </c>
      <c r="F278" s="10">
        <v>0.1</v>
      </c>
      <c r="G278" s="10">
        <v>0.1</v>
      </c>
      <c r="H278" s="10">
        <v>0.1</v>
      </c>
      <c r="I278" s="10">
        <v>0.1</v>
      </c>
      <c r="J278" s="10">
        <v>0.1</v>
      </c>
      <c r="K278" s="10">
        <v>0.1</v>
      </c>
      <c r="L278" s="10">
        <v>0.1</v>
      </c>
      <c r="M278" s="10">
        <v>0.1</v>
      </c>
      <c r="N278" s="10">
        <v>0.1</v>
      </c>
      <c r="O278" s="10">
        <v>0.1</v>
      </c>
      <c r="P278" s="10">
        <v>0.1</v>
      </c>
      <c r="Q278" s="3"/>
      <c r="U278" s="9" t="s">
        <v>6</v>
      </c>
      <c r="V278" s="9"/>
    </row>
    <row r="279" spans="1:22" x14ac:dyDescent="0.2">
      <c r="A279" s="12" t="str">
        <f>$B$277&amp;B279</f>
        <v>PAPGermany</v>
      </c>
      <c r="B279" s="11" t="s">
        <v>5</v>
      </c>
      <c r="C279" s="10">
        <v>0</v>
      </c>
      <c r="D279" s="10">
        <v>0</v>
      </c>
      <c r="E279" s="10">
        <v>0</v>
      </c>
      <c r="F279" s="10">
        <v>0</v>
      </c>
      <c r="G279" s="10">
        <v>0</v>
      </c>
      <c r="H279" s="10">
        <v>0</v>
      </c>
      <c r="I279" s="10">
        <v>0</v>
      </c>
      <c r="J279" s="10">
        <v>0</v>
      </c>
      <c r="K279" s="10">
        <v>0</v>
      </c>
      <c r="L279" s="10">
        <v>0</v>
      </c>
      <c r="M279" s="10">
        <v>0</v>
      </c>
      <c r="N279" s="10">
        <v>0</v>
      </c>
      <c r="O279" s="10">
        <v>0</v>
      </c>
      <c r="P279" s="10">
        <v>0</v>
      </c>
      <c r="Q279" s="3"/>
      <c r="U279" s="9"/>
      <c r="V279" s="9"/>
    </row>
    <row r="280" spans="1:22" x14ac:dyDescent="0.2">
      <c r="A280" s="12" t="str">
        <f>$B$277&amp;B280</f>
        <v>PAPFrance</v>
      </c>
      <c r="B280" s="11" t="s">
        <v>4</v>
      </c>
      <c r="C280" s="10">
        <v>0</v>
      </c>
      <c r="D280" s="10">
        <v>0</v>
      </c>
      <c r="E280" s="10">
        <v>0</v>
      </c>
      <c r="F280" s="10">
        <v>0</v>
      </c>
      <c r="G280" s="10">
        <v>0</v>
      </c>
      <c r="H280" s="10">
        <v>0</v>
      </c>
      <c r="I280" s="10">
        <v>0</v>
      </c>
      <c r="J280" s="10">
        <v>0</v>
      </c>
      <c r="K280" s="10">
        <v>0</v>
      </c>
      <c r="L280" s="10">
        <v>0</v>
      </c>
      <c r="M280" s="10">
        <v>0</v>
      </c>
      <c r="N280" s="10">
        <v>0</v>
      </c>
      <c r="O280" s="10">
        <v>0</v>
      </c>
      <c r="P280" s="10">
        <v>0</v>
      </c>
      <c r="Q280" s="3"/>
      <c r="U280" s="9"/>
      <c r="V280" s="9"/>
    </row>
    <row r="281" spans="1:22" x14ac:dyDescent="0.2">
      <c r="A281" s="12" t="str">
        <f>$B$277&amp;B281</f>
        <v>PAPItaly</v>
      </c>
      <c r="B281" s="11" t="s">
        <v>3</v>
      </c>
      <c r="C281" s="10">
        <v>0</v>
      </c>
      <c r="D281" s="10">
        <v>0</v>
      </c>
      <c r="E281" s="10">
        <v>0</v>
      </c>
      <c r="F281" s="10">
        <v>0</v>
      </c>
      <c r="G281" s="10">
        <v>0</v>
      </c>
      <c r="H281" s="10">
        <v>0</v>
      </c>
      <c r="I281" s="10">
        <v>0</v>
      </c>
      <c r="J281" s="10">
        <v>0</v>
      </c>
      <c r="K281" s="10">
        <v>0</v>
      </c>
      <c r="L281" s="10">
        <v>0</v>
      </c>
      <c r="M281" s="10">
        <v>0</v>
      </c>
      <c r="N281" s="10">
        <v>0</v>
      </c>
      <c r="O281" s="10">
        <v>0</v>
      </c>
      <c r="P281" s="10">
        <v>0</v>
      </c>
      <c r="Q281" s="3"/>
      <c r="U281" s="9"/>
      <c r="V281" s="9"/>
    </row>
    <row r="282" spans="1:22" x14ac:dyDescent="0.2">
      <c r="A282" s="12" t="str">
        <f>$B$277&amp;B282</f>
        <v>PAPSpain</v>
      </c>
      <c r="B282" s="11" t="s">
        <v>2</v>
      </c>
      <c r="C282" s="10">
        <v>0</v>
      </c>
      <c r="D282" s="10">
        <v>0</v>
      </c>
      <c r="E282" s="10">
        <v>0</v>
      </c>
      <c r="F282" s="10">
        <v>0</v>
      </c>
      <c r="G282" s="10">
        <v>0</v>
      </c>
      <c r="H282" s="10">
        <v>0</v>
      </c>
      <c r="I282" s="10">
        <v>0</v>
      </c>
      <c r="J282" s="10">
        <v>0</v>
      </c>
      <c r="K282" s="10">
        <v>0</v>
      </c>
      <c r="L282" s="10">
        <v>0</v>
      </c>
      <c r="M282" s="10">
        <v>0</v>
      </c>
      <c r="N282" s="10">
        <v>0</v>
      </c>
      <c r="O282" s="10">
        <v>0</v>
      </c>
      <c r="P282" s="10">
        <v>0</v>
      </c>
      <c r="Q282" s="3"/>
      <c r="U282" s="9"/>
      <c r="V282" s="9"/>
    </row>
    <row r="283" spans="1:22" x14ac:dyDescent="0.2">
      <c r="A283" s="12" t="str">
        <f>$B$277&amp;B283</f>
        <v>PAPUK</v>
      </c>
      <c r="B283" s="11" t="s">
        <v>1</v>
      </c>
      <c r="C283" s="10">
        <v>0</v>
      </c>
      <c r="D283" s="10">
        <v>0</v>
      </c>
      <c r="E283" s="10">
        <v>0</v>
      </c>
      <c r="F283" s="10">
        <v>0</v>
      </c>
      <c r="G283" s="10">
        <v>0</v>
      </c>
      <c r="H283" s="10">
        <v>0</v>
      </c>
      <c r="I283" s="10">
        <v>0</v>
      </c>
      <c r="J283" s="10">
        <v>0</v>
      </c>
      <c r="K283" s="10">
        <v>0</v>
      </c>
      <c r="L283" s="10">
        <v>0</v>
      </c>
      <c r="M283" s="10">
        <v>0</v>
      </c>
      <c r="N283" s="10">
        <v>0</v>
      </c>
      <c r="O283" s="10">
        <v>0</v>
      </c>
      <c r="P283" s="10">
        <v>0</v>
      </c>
      <c r="Q283" s="3"/>
      <c r="U283" s="9"/>
      <c r="V283" s="9"/>
    </row>
    <row r="284" spans="1:22" x14ac:dyDescent="0.2">
      <c r="A284" s="12" t="str">
        <f>$B$277&amp;B284</f>
        <v>PAPJapan</v>
      </c>
      <c r="B284" s="11" t="s">
        <v>0</v>
      </c>
      <c r="C284" s="10">
        <v>0</v>
      </c>
      <c r="D284" s="10">
        <v>0</v>
      </c>
      <c r="E284" s="10">
        <v>0</v>
      </c>
      <c r="F284" s="10">
        <v>0</v>
      </c>
      <c r="G284" s="10">
        <v>0</v>
      </c>
      <c r="H284" s="10">
        <v>0</v>
      </c>
      <c r="I284" s="10">
        <v>0</v>
      </c>
      <c r="J284" s="10">
        <v>0</v>
      </c>
      <c r="K284" s="10">
        <v>0</v>
      </c>
      <c r="L284" s="10">
        <v>0</v>
      </c>
      <c r="M284" s="10">
        <v>0</v>
      </c>
      <c r="N284" s="10">
        <v>0</v>
      </c>
      <c r="O284" s="10">
        <v>0</v>
      </c>
      <c r="P284" s="10">
        <v>0</v>
      </c>
      <c r="Q284" s="3"/>
      <c r="U284" s="9"/>
      <c r="V284" s="9"/>
    </row>
    <row r="285" spans="1:22" x14ac:dyDescent="0.2">
      <c r="B285" s="8"/>
      <c r="C285" s="4"/>
      <c r="D285" s="4"/>
      <c r="E285" s="4"/>
      <c r="F285" s="4"/>
      <c r="G285" s="4"/>
      <c r="H285" s="4"/>
      <c r="I285" s="4"/>
      <c r="J285" s="4"/>
      <c r="K285" s="4"/>
      <c r="L285" s="4"/>
      <c r="M285" s="7"/>
    </row>
    <row r="286" spans="1:22" x14ac:dyDescent="0.2">
      <c r="B286" s="8"/>
      <c r="C286" s="4"/>
      <c r="D286" s="4"/>
      <c r="E286" s="4"/>
      <c r="F286" s="4"/>
      <c r="G286" s="4"/>
      <c r="H286" s="4"/>
      <c r="I286" s="4"/>
      <c r="J286" s="4"/>
      <c r="K286" s="4"/>
      <c r="L286" s="4"/>
      <c r="M286" s="7"/>
    </row>
    <row r="287" spans="1:22" x14ac:dyDescent="0.2">
      <c r="B287" s="8"/>
      <c r="C287" s="4"/>
      <c r="D287" s="4"/>
      <c r="E287" s="4"/>
      <c r="F287" s="4"/>
      <c r="G287" s="4"/>
      <c r="H287" s="4"/>
      <c r="I287" s="4"/>
      <c r="J287" s="4"/>
      <c r="K287" s="4"/>
      <c r="L287" s="4"/>
      <c r="M287" s="7"/>
    </row>
    <row r="291" spans="3:7" x14ac:dyDescent="0.2">
      <c r="D291" s="6"/>
      <c r="E291" s="5"/>
    </row>
    <row r="292" spans="3:7" x14ac:dyDescent="0.2">
      <c r="C292" s="4"/>
      <c r="D292" s="4"/>
      <c r="E292" s="5"/>
    </row>
    <row r="293" spans="3:7" x14ac:dyDescent="0.2">
      <c r="C293" s="4"/>
      <c r="D293" s="4"/>
      <c r="E293" s="5"/>
    </row>
    <row r="294" spans="3:7" x14ac:dyDescent="0.2">
      <c r="C294" s="4"/>
      <c r="D294" s="4"/>
    </row>
    <row r="295" spans="3:7" x14ac:dyDescent="0.2">
      <c r="C295" s="4"/>
      <c r="D295" s="4"/>
    </row>
    <row r="296" spans="3:7" x14ac:dyDescent="0.2">
      <c r="C296" s="4"/>
      <c r="D296" s="4"/>
    </row>
    <row r="297" spans="3:7" x14ac:dyDescent="0.2">
      <c r="C297" s="4"/>
      <c r="D297" s="4"/>
    </row>
    <row r="298" spans="3:7" x14ac:dyDescent="0.2">
      <c r="C298" s="4"/>
      <c r="D298" s="4"/>
      <c r="E298" s="2"/>
      <c r="G298" s="2"/>
    </row>
    <row r="304" spans="3:7" x14ac:dyDescent="0.2">
      <c r="C304" s="3"/>
    </row>
    <row r="306" spans="3:5" x14ac:dyDescent="0.2">
      <c r="C306" s="3"/>
    </row>
    <row r="309" spans="3:5" x14ac:dyDescent="0.2">
      <c r="E309" s="2"/>
    </row>
  </sheetData>
  <mergeCells count="16">
    <mergeCell ref="U7:U13"/>
    <mergeCell ref="V7:V13"/>
    <mergeCell ref="U37:U38"/>
    <mergeCell ref="V37:V38"/>
    <mergeCell ref="U63:U76"/>
    <mergeCell ref="V63:V76"/>
    <mergeCell ref="U239:V247"/>
    <mergeCell ref="U250:V256"/>
    <mergeCell ref="U269:V275"/>
    <mergeCell ref="U278:V284"/>
    <mergeCell ref="U81:U86"/>
    <mergeCell ref="V81:V86"/>
    <mergeCell ref="U91:U100"/>
    <mergeCell ref="V91:V100"/>
    <mergeCell ref="U104:V109"/>
    <mergeCell ref="U235:V236"/>
  </mergeCells>
  <hyperlinks>
    <hyperlink ref="U81" r:id="rId1" display="https://sci-hub.tw/10.1007/s11060-018-03065-z" xr:uid="{100E6A2C-6594-F94B-A362-46439A10C927}"/>
    <hyperlink ref="U63" r:id="rId2" display="https://www.jmcp.org/doi/pdf/10.18553/jmcp.2019.25.4.428" xr:uid="{C0701E37-A49C-0349-B5CA-CCDBD465668D}"/>
    <hyperlink ref="U55" r:id="rId3" display="chrome-extension://oemmndcbldboiebfnladdacbdfmadadm/https:/www.jmcp.org/doi/pdf/10.18553/jmcp.2019.25.4.428" xr:uid="{3C485EF9-ADEC-644D-BC88-A0DE28151D8A}"/>
    <hyperlink ref="U34" r:id="rId4" xr:uid="{06E9011A-FE01-B74B-B55E-F525184EFACB}"/>
    <hyperlink ref="U41" r:id="rId5" display="https://link.springer.com/article/10.1007/s00432-018-02836-5" xr:uid="{878CA696-0356-704C-8A8B-3B5D85AD0B21}"/>
    <hyperlink ref="U40" r:id="rId6" display="https://link.springer.com/article/10.1007/s00432-018-02836-5" xr:uid="{DFE1E7B8-6857-234D-95A8-7D9DF41F2430}"/>
    <hyperlink ref="U52" r:id="rId7" xr:uid="{25710986-1E5D-AD43-8CD4-C540591E0378}"/>
    <hyperlink ref="U27" r:id="rId8" xr:uid="{FE113EF6-9EE1-724C-B1F3-CB28D6D453F6}"/>
    <hyperlink ref="U16" r:id="rId9" xr:uid="{EA120AFB-99AF-7B43-9739-319887338347}"/>
  </hyperlinks>
  <pageMargins left="0.7" right="0.7" top="0.75" bottom="0.75" header="0.3" footer="0.3"/>
  <pageSetup orientation="portrait" horizontalDpi="1200" verticalDpi="1200" r:id="rId10"/>
  <drawing r:id="rId11"/>
  <legacyDrawing r:id="rId1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Input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BIPASHA KARMAKAR</dc:creator>
  <cp:lastModifiedBy>BIPASHA KARMAKAR</cp:lastModifiedBy>
  <dcterms:created xsi:type="dcterms:W3CDTF">2026-03-29T16:11:33Z</dcterms:created>
  <dcterms:modified xsi:type="dcterms:W3CDTF">2026-03-29T16:12:03Z</dcterms:modified>
</cp:coreProperties>
</file>